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  <sheet name="Resumen" sheetId="2" state="visible" r:id="rId4"/>
    <sheet name="Hallazgos" sheetId="3" state="visible" r:id="rId5"/>
    <sheet name="Formularios" sheetId="4" state="visible" r:id="rId6"/>
    <sheet name="Leyenda" sheetId="5" state="visible" r:id="rId7"/>
  </sheets>
  <definedNames>
    <definedName function="false" hidden="true" localSheetId="2" name="_xlnm._FilterDatabase" vbProcedure="false">Hallazgos!$A$4:$F$20</definedName>
    <definedName function="false" hidden="true" localSheetId="0" name="_xlnm._FilterDatabase" vbProcedure="false">Matriz!$A$5:$L$55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<sst xmlns="http://schemas.openxmlformats.org/spreadsheetml/2006/main" count="712" uniqueCount="459">
  <si>
    <t xml:space="preserve">SIRAM · Comparación de campos entre formularios de denuncia</t>
  </si>
  <si>
    <t xml:space="preserve">F1 = Formulario público (Schiavini) · F2 = Ventanilla Zoonosis Ushuaia (O.M. 4800) · F3 = pendiente. Estado: Sí / Parcial / Implícito / No. Columnas amarillas: completar cuando llegue el F3.</t>
  </si>
  <si>
    <t xml:space="preserve">Campo unificado</t>
  </si>
  <si>
    <t xml:space="preserve">F1 · Formulario público (Schiavini)</t>
  </si>
  <si>
    <t xml:space="preserve">F2 · Ventanilla Zoonosis Ushuaia</t>
  </si>
  <si>
    <t xml:space="preserve">F3 · (pendiente)</t>
  </si>
  <si>
    <t xml:space="preserve">Análisis</t>
  </si>
  <si>
    <t xml:space="preserve">Cód.</t>
  </si>
  <si>
    <t xml:space="preserve">Bloque</t>
  </si>
  <si>
    <t xml:space="preserve">Campo</t>
  </si>
  <si>
    <t xml:space="preserve">Estado</t>
  </si>
  <si>
    <t xml:space="preserve">Pregunta y opciones (textual)</t>
  </si>
  <si>
    <t xml:space="preserve">Presente en (n.º form.)</t>
  </si>
  <si>
    <t xml:space="preserve">Uso en SIRAM (Entrevista 1)</t>
  </si>
  <si>
    <t xml:space="preserve">Diferencias y notas de normalización</t>
  </si>
  <si>
    <t xml:space="preserve">P1</t>
  </si>
  <si>
    <t xml:space="preserve">Persona</t>
  </si>
  <si>
    <t xml:space="preserve">Nombre y apellido</t>
  </si>
  <si>
    <t xml:space="preserve">Sí</t>
  </si>
  <si>
    <t xml:space="preserve">Nombre y apellido (texto)</t>
  </si>
  <si>
    <t xml:space="preserve">Apellido y nombre (del denunciante)</t>
  </si>
  <si>
    <t xml:space="preserve">F2 pide apellido primero; normalizar a un solo formato.</t>
  </si>
  <si>
    <t xml:space="preserve">P2</t>
  </si>
  <si>
    <t xml:space="preserve">Edad</t>
  </si>
  <si>
    <t xml:space="preserve">Edad (texto)</t>
  </si>
  <si>
    <t xml:space="preserve">Edad (del denunciante; la del lesionado va en P9)</t>
  </si>
  <si>
    <t xml:space="preserve">Epidemiológico: edad</t>
  </si>
  <si>
    <t xml:space="preserve">P3</t>
  </si>
  <si>
    <t xml:space="preserve">Correo electrónico</t>
  </si>
  <si>
    <t xml:space="preserve">Correo electrónico de contacto (texto)</t>
  </si>
  <si>
    <t xml:space="preserve">No</t>
  </si>
  <si>
    <t xml:space="preserve">—</t>
  </si>
  <si>
    <t xml:space="preserve">Duplicados: complemento</t>
  </si>
  <si>
    <t xml:space="preserve">Solo F1.</t>
  </si>
  <si>
    <t xml:space="preserve">P4</t>
  </si>
  <si>
    <t xml:space="preserve">Teléfono</t>
  </si>
  <si>
    <t xml:space="preserve">Teléfono de contacto (texto)</t>
  </si>
  <si>
    <t xml:space="preserve">Teléfono de contacto (del denunciante)</t>
  </si>
  <si>
    <t xml:space="preserve">Duplicados: complemento (celular)</t>
  </si>
  <si>
    <t xml:space="preserve">P5</t>
  </si>
  <si>
    <t xml:space="preserve">Tarea si trabaja en la calle</t>
  </si>
  <si>
    <t xml:space="preserve">Si usted trabaja en la calle, indique su tarea: Cartero / Recolector de residuos / Inspector de tránsito / Notificador (de justicia o de juzgado de faltas) / Trabajador de servicios (Luz, Agua, Gas, etc.) / Otros</t>
  </si>
  <si>
    <t xml:space="preserve">Solo F1. Contexto laboral de la persona agredida.</t>
  </si>
  <si>
    <t xml:space="preserve">P6</t>
  </si>
  <si>
    <t xml:space="preserve">DNI</t>
  </si>
  <si>
    <t xml:space="preserve">D.N.I. N° (del denunciante)</t>
  </si>
  <si>
    <t xml:space="preserve">Duplicados: clave principal</t>
  </si>
  <si>
    <t xml:space="preserve">Falta en F1 (ver HZ01).</t>
  </si>
  <si>
    <t xml:space="preserve">P7</t>
  </si>
  <si>
    <t xml:space="preserve">Domicilio de la persona</t>
  </si>
  <si>
    <t xml:space="preserve">Domicilio (del denunciante)</t>
  </si>
  <si>
    <t xml:space="preserve">Es el domicilio de la persona, no el lugar del hecho.</t>
  </si>
  <si>
    <t xml:space="preserve">P8</t>
  </si>
  <si>
    <t xml:space="preserve">Carácter del denunciante</t>
  </si>
  <si>
    <t xml:space="preserve">En carácter de: (texto libre)</t>
  </si>
  <si>
    <t xml:space="preserve">Texto libre, sin lista de valores.</t>
  </si>
  <si>
    <t xml:space="preserve">P9</t>
  </si>
  <si>
    <t xml:space="preserve">Datos del lesionado si no es el denunciante</t>
  </si>
  <si>
    <t xml:space="preserve">Datos del lesionado (en caso de no ser el denunciante): Apellido y nombre, D.N.I., Edad, Teléfono, Domicilio</t>
  </si>
  <si>
    <t xml:space="preserve">F1 asume que responde la persona agredida (inferido). Ver HZ07.</t>
  </si>
  <si>
    <t xml:space="preserve">H0</t>
  </si>
  <si>
    <t xml:space="preserve">Hecho</t>
  </si>
  <si>
    <t xml:space="preserve">Fecha de la denuncia</t>
  </si>
  <si>
    <t xml:space="preserve">Encabezado: Ushuaia, __ de __ de 20__</t>
  </si>
  <si>
    <t xml:space="preserve">F1: la planilla de respuestas de un formulario online suele guardar una marca temporal automática (inferido; verificar con el export real). Ver HZ14.</t>
  </si>
  <si>
    <t xml:space="preserve">H1</t>
  </si>
  <si>
    <t xml:space="preserve">Fecha de la agresión</t>
  </si>
  <si>
    <t xml:space="preserve">Fecha y hora de la agresión — Fecha (Día / Mes / Año)</t>
  </si>
  <si>
    <t xml:space="preserve">Fecha de la agresión: __/__/__</t>
  </si>
  <si>
    <t xml:space="preserve">Obligatorio: cuándo · Duplicados: complemento (fecha)</t>
  </si>
  <si>
    <t xml:space="preserve">H2</t>
  </si>
  <si>
    <t xml:space="preserve">Hora de la agresión</t>
  </si>
  <si>
    <t xml:space="preserve">Hora (formato 24 h, HH:MM)</t>
  </si>
  <si>
    <t xml:space="preserve">Hora: __:__</t>
  </si>
  <si>
    <t xml:space="preserve">H3</t>
  </si>
  <si>
    <t xml:space="preserve">Ciudad del hecho</t>
  </si>
  <si>
    <t xml:space="preserve">Ciudad * : Río Grande / Tolhuin / Ushuaia / Otros</t>
  </si>
  <si>
    <t xml:space="preserve">Implícito</t>
  </si>
  <si>
    <t xml:space="preserve">No se pregunta; el encabezado dice «Ushuaia» (lugar de la denuncia)</t>
  </si>
  <si>
    <t xml:space="preserve">Obligatorio: dónde</t>
  </si>
  <si>
    <t xml:space="preserve">F1: único campo marcado obligatorio. F2: se asume Ushuaia (inferido; validar). Ver HZ15.</t>
  </si>
  <si>
    <t xml:space="preserve">H4</t>
  </si>
  <si>
    <t xml:space="preserve">Lugar / dirección del hecho</t>
  </si>
  <si>
    <t xml:space="preserve">Lugar (calles) donde se produjo la agresión — calle, dirección o altura (ej. Maipú al 100) y ciudad</t>
  </si>
  <si>
    <t xml:space="preserve">Lugar – Calle: ____  Nº ____</t>
  </si>
  <si>
    <t xml:space="preserve">F1 texto libre; F2 calle y número separados. Relevante para georreferenciar (mapa).</t>
  </si>
  <si>
    <t xml:space="preserve">H5</t>
  </si>
  <si>
    <t xml:space="preserve">Tipo de lugar</t>
  </si>
  <si>
    <t xml:space="preserve">Casa propia / Casa ajena / Zona Rural / Vía Pública / Espacio Público (plaza por ej.)</t>
  </si>
  <si>
    <t xml:space="preserve">Casa propia / Casa ajena / Vía pública / Espacio público</t>
  </si>
  <si>
    <t xml:space="preserve">Epidemiológico: ámbito (mapeo inferido)</t>
  </si>
  <si>
    <t xml:space="preserve">F2 no tiene «Zona rural».</t>
  </si>
  <si>
    <t xml:space="preserve">H6</t>
  </si>
  <si>
    <t xml:space="preserve">Con quién estaba</t>
  </si>
  <si>
    <t xml:space="preserve">¿Con quién estaba en ese momento?: Solo / Acompañado</t>
  </si>
  <si>
    <t xml:space="preserve">Con quién estaba en ese momento: Solo/a / Padre / Madre / Amigos / Otros</t>
  </si>
  <si>
    <t xml:space="preserve">Obligatorio: situación de la persona (mapeo inferido)</t>
  </si>
  <si>
    <t xml:space="preserve">Granularidad distinta. F2 → F1 se puede mapear (Padre/Madre/Amigos/Otros = Acompañado); F1 → F2 no.</t>
  </si>
  <si>
    <t xml:space="preserve">H7</t>
  </si>
  <si>
    <t xml:space="preserve">Iba acompañado por perros</t>
  </si>
  <si>
    <t xml:space="preserve">Al momento de la mordedura, ¿usted iba acompañado por uno o más perros?: Sí / No</t>
  </si>
  <si>
    <t xml:space="preserve">H8</t>
  </si>
  <si>
    <t xml:space="preserve">Actividad al momento del ataque</t>
  </si>
  <si>
    <t xml:space="preserve">¿Qué estaba haciendo usted al momento del ataque?: Parado / Caminando / Sentado / Corriendo / Andando en bicicleta / Andando en moto / Interactuando con el animal</t>
  </si>
  <si>
    <t xml:space="preserve">Solo F1. Ver HZ11.</t>
  </si>
  <si>
    <t xml:space="preserve">H9</t>
  </si>
  <si>
    <t xml:space="preserve">Tipo de interacción con el animal</t>
  </si>
  <si>
    <t xml:space="preserve">Si estaba interactuando con el animal, ¿cómo fue?: Lo estaba tocando / Lo estaba tocando mientras comía / Lo asistía porque había sido atropellado / Lo asistía porque había sido atacado por otro animal / Otros</t>
  </si>
  <si>
    <t xml:space="preserve">Solo F1. Condicional a H8 = Interactuando.</t>
  </si>
  <si>
    <t xml:space="preserve">H10</t>
  </si>
  <si>
    <t xml:space="preserve">Otros datos / testigos / observaciones</t>
  </si>
  <si>
    <t xml:space="preserve">Otros datos que quiera aportar (testigos u otros elementos de prueba) (texto)</t>
  </si>
  <si>
    <t xml:space="preserve">Observaciones / otros datos (texto libre)</t>
  </si>
  <si>
    <t xml:space="preserve">F2 tiene un único campo libre.</t>
  </si>
  <si>
    <t xml:space="preserve">H11</t>
  </si>
  <si>
    <t xml:space="preserve">Conoce al propietario del domicilio</t>
  </si>
  <si>
    <t xml:space="preserve">Conoce al propietario/a del domicilio: SI / NO</t>
  </si>
  <si>
    <t xml:space="preserve">Ambiguo: ¿domicilio del hecho o del animal? Pendiente (HZ16).</t>
  </si>
  <si>
    <t xml:space="preserve">T1</t>
  </si>
  <si>
    <t xml:space="preserve">Tipo de evento</t>
  </si>
  <si>
    <t xml:space="preserve">Tipo de denuncia / evento</t>
  </si>
  <si>
    <t xml:space="preserve">Tipo de denuncia: Mordedura de ADC / Lesión compatible con ataque de ADC / Canes sueltos, agresivos / Ataque de ADC a otro ADC / Mal estado de ADC / Otros</t>
  </si>
  <si>
    <t xml:space="preserve">Tipificación del evento (RF.19)</t>
  </si>
  <si>
    <t xml:space="preserve">F1 cubre solo agresiones a personas (ver L1). Varias opciones del F2 quedan fuera de alcance (HZ03).</t>
  </si>
  <si>
    <t xml:space="preserve">X1</t>
  </si>
  <si>
    <t xml:space="preserve">Documentación y trámite</t>
  </si>
  <si>
    <t xml:space="preserve">Adjunta certificado médico</t>
  </si>
  <si>
    <t xml:space="preserve">Adjunta copia de certificado médico por mordedura de ADC o por lesión compatible con ataque de ADC: SI / NO</t>
  </si>
  <si>
    <t xml:space="preserve">Plazo de 48 h hábiles para presentarlo; si no, la denuncia se desglosa y se devuelve (HZ08).</t>
  </si>
  <si>
    <t xml:space="preserve">X2</t>
  </si>
  <si>
    <t xml:space="preserve">Adjunta fotos</t>
  </si>
  <si>
    <t xml:space="preserve">Adjunta registro fotográfico del ADC involucrado o del lugar del hecho: SI / NO</t>
  </si>
  <si>
    <t xml:space="preserve">Fotos (RF.25)</t>
  </si>
  <si>
    <t xml:space="preserve">F1 solo menciona «elementos de prueba» en texto libre (H10).</t>
  </si>
  <si>
    <t xml:space="preserve">X3</t>
  </si>
  <si>
    <t xml:space="preserve">Firma y ratificación del denunciante</t>
  </si>
  <si>
    <t xml:space="preserve">Firma y aclaración del denunciante; notificación del plazo; «Ratifico en todos sus términos» con segunda firma</t>
  </si>
  <si>
    <t xml:space="preserve">Dato administrativo del trámite en papel.</t>
  </si>
  <si>
    <t xml:space="preserve">A1</t>
  </si>
  <si>
    <t xml:space="preserve">Animal</t>
  </si>
  <si>
    <t xml:space="preserve">Especie</t>
  </si>
  <si>
    <t xml:space="preserve">Animal causante de la lesión: Perro / Gato</t>
  </si>
  <si>
    <t xml:space="preserve">Perro/a / Gato/a</t>
  </si>
  <si>
    <t xml:space="preserve">Ambos incluyen gatos; gatos dentro del alcance: sin definir (HZ06).</t>
  </si>
  <si>
    <t xml:space="preserve">A2</t>
  </si>
  <si>
    <t xml:space="preserve">Tamaño</t>
  </si>
  <si>
    <t xml:space="preserve">En caso de ser un perro, ¿qué tamaño tenía?: Grande (Mastín, Pastor Inglés, Pastor Alemán) / Mediano (Labrador, Pitbull, Border Collie) / Chico (Caniche, Schnauzer, Beagle)</t>
  </si>
  <si>
    <t xml:space="preserve">Tamaño del ADC: Pequeño / Mediano / Grande</t>
  </si>
  <si>
    <t xml:space="preserve">Filtro del mapa (tamaño)</t>
  </si>
  <si>
    <t xml:space="preserve">«Chico» (F1) = «Pequeño» (F2). F1 da ejemplos de razas y lo pregunta solo para perros.</t>
  </si>
  <si>
    <t xml:space="preserve">A3</t>
  </si>
  <si>
    <t xml:space="preserve">¿Conoce la raza?</t>
  </si>
  <si>
    <t xml:space="preserve">¿Conoce su raza?: Sí / No</t>
  </si>
  <si>
    <t xml:space="preserve">Conoce su raza: SI / NO / NO SÉ</t>
  </si>
  <si>
    <t xml:space="preserve">F2 agrega «NO SÉ».</t>
  </si>
  <si>
    <t xml:space="preserve">A4</t>
  </si>
  <si>
    <t xml:space="preserve">Raza</t>
  </si>
  <si>
    <t xml:space="preserve">Si sabe la raza, describirla (texto)</t>
  </si>
  <si>
    <t xml:space="preserve">¿Cuál es? (texto)</t>
  </si>
  <si>
    <t xml:space="preserve">A5</t>
  </si>
  <si>
    <t xml:space="preserve">Origen del animal</t>
  </si>
  <si>
    <t xml:space="preserve">Origen del animal: Mascota propia / Ajeno conocido / Ajeno desconocido</t>
  </si>
  <si>
    <t xml:space="preserve">Origen: Mascota propia / Ajeno conocido / Ajeno desconocido</t>
  </si>
  <si>
    <t xml:space="preserve">Obligatorio: propio / ajeno</t>
  </si>
  <si>
    <t xml:space="preserve">Mismas opciones.</t>
  </si>
  <si>
    <t xml:space="preserve">A6</t>
  </si>
  <si>
    <t xml:space="preserve">¿El dueño se responsabilizó?</t>
  </si>
  <si>
    <t xml:space="preserve">Si el perro era ajeno, ¿el dueño se responsabilizó o colaboró? (texto)</t>
  </si>
  <si>
    <t xml:space="preserve">A7</t>
  </si>
  <si>
    <t xml:space="preserve">Domicilio o zona del animal</t>
  </si>
  <si>
    <t xml:space="preserve">Si conoce el domicilio del animal agresor, indíquelo (ej. Maipú al 100)</t>
  </si>
  <si>
    <t xml:space="preserve">Dirección o zona del animal agresor</t>
  </si>
  <si>
    <t xml:space="preserve">Mismo dato.</t>
  </si>
  <si>
    <t xml:space="preserve">A8</t>
  </si>
  <si>
    <t xml:space="preserve">Vacuna antirrábica del animal</t>
  </si>
  <si>
    <t xml:space="preserve">¿Sabe si el animal está vacunado contra la Rabia?: Si / No / No sabe</t>
  </si>
  <si>
    <t xml:space="preserve">A9</t>
  </si>
  <si>
    <t xml:space="preserve">Sexo del animal</t>
  </si>
  <si>
    <t xml:space="preserve">Sexo: Macho / Hembra / No sabe</t>
  </si>
  <si>
    <t xml:space="preserve">Sexo: Macho / Hembra</t>
  </si>
  <si>
    <t xml:space="preserve">F2 no tiene «No sabe».</t>
  </si>
  <si>
    <t xml:space="preserve">A10</t>
  </si>
  <si>
    <t xml:space="preserve">Castrado/a</t>
  </si>
  <si>
    <t xml:space="preserve">Castrado/a: Sí / No / No Sabe</t>
  </si>
  <si>
    <t xml:space="preserve">A11</t>
  </si>
  <si>
    <t xml:space="preserve">¿Puede identificar al animal?</t>
  </si>
  <si>
    <t xml:space="preserve">¿Podría identificar al animal agresor?: Sí / No</t>
  </si>
  <si>
    <t xml:space="preserve">Puede identificar al ADC: SI / NO / NO SÉ</t>
  </si>
  <si>
    <t xml:space="preserve">A12</t>
  </si>
  <si>
    <t xml:space="preserve">Mordedor reincidente</t>
  </si>
  <si>
    <t xml:space="preserve">¿Sabe si es mordedor reincidente?: Sí / No</t>
  </si>
  <si>
    <t xml:space="preserve">Mordedor reincidente: SI / NO / NO SÉ</t>
  </si>
  <si>
    <t xml:space="preserve">A13</t>
  </si>
  <si>
    <t xml:space="preserve">Color del animal</t>
  </si>
  <si>
    <t xml:space="preserve">Color del animal (texto)</t>
  </si>
  <si>
    <t xml:space="preserve">Filtro del mapa (color)</t>
  </si>
  <si>
    <t xml:space="preserve">Solo F2, pero la Entrevista 1 lo pidió como filtro (HZ10).</t>
  </si>
  <si>
    <t xml:space="preserve">L1</t>
  </si>
  <si>
    <t xml:space="preserve">Lesión y atención</t>
  </si>
  <si>
    <t xml:space="preserve">Tipo de lesión</t>
  </si>
  <si>
    <t xml:space="preserve">Lesión: Mordedura / Arañazo / Otros</t>
  </si>
  <si>
    <t xml:space="preserve">Parcial</t>
  </si>
  <si>
    <t xml:space="preserve">Vía Tipo de denuncia (T1): Mordedura de ADC / Lesión compatible con ataque de ADC</t>
  </si>
  <si>
    <t xml:space="preserve">Categorías no equivalentes: F1 tiene Arañazo; F2 distingue Mordedura vs Lesión compatible (HZ05).</t>
  </si>
  <si>
    <t xml:space="preserve">L2</t>
  </si>
  <si>
    <t xml:space="preserve">Gravedad de la lesión</t>
  </si>
  <si>
    <t xml:space="preserve">Tipo de lesión (consulte al médico): Excoriación (irritación en la piel) / Herida superficial / Herida profunda / Amputación</t>
  </si>
  <si>
    <t xml:space="preserve">En F2 quedaría en el certificado médico adjunto (inferido).</t>
  </si>
  <si>
    <t xml:space="preserve">L3</t>
  </si>
  <si>
    <t xml:space="preserve">Zona del cuerpo</t>
  </si>
  <si>
    <t xml:space="preserve">Lugar del cuerpo donde fue mordido o lesionado: Cabeza / Cara / Cuello / Brazos / Manos / Piernas / Pies / Tronco / Genitales / Múltiples</t>
  </si>
  <si>
    <t xml:space="preserve">Epidemiológico: zona corporal</t>
  </si>
  <si>
    <t xml:space="preserve">Falta en F2 (HZ02).</t>
  </si>
  <si>
    <t xml:space="preserve">L4</t>
  </si>
  <si>
    <t xml:space="preserve">Recibió atención médica</t>
  </si>
  <si>
    <t xml:space="preserve">¿Recibió atención médica?: Sí / No</t>
  </si>
  <si>
    <t xml:space="preserve">Indirecto: si adjunta certificado médico (X1), hubo atención</t>
  </si>
  <si>
    <t xml:space="preserve">No adjuntar certificado no implica que no haya habido atención.</t>
  </si>
  <si>
    <t xml:space="preserve">L5</t>
  </si>
  <si>
    <t xml:space="preserve">Sutura</t>
  </si>
  <si>
    <t xml:space="preserve">¿Le realizaron puntos de sutura?: Sí / No</t>
  </si>
  <si>
    <t xml:space="preserve">L6</t>
  </si>
  <si>
    <t xml:space="preserve">Indicación de antibiótico</t>
  </si>
  <si>
    <t xml:space="preserve">¿Tuvo indicación de antibiótico?: Sí / No</t>
  </si>
  <si>
    <t xml:space="preserve">L7</t>
  </si>
  <si>
    <t xml:space="preserve">Indicación de vacuna antirrábica (persona)</t>
  </si>
  <si>
    <t xml:space="preserve">¿Tuvo indicación de vacuna antirrábica?: Sí / No</t>
  </si>
  <si>
    <t xml:space="preserve">Solo F1. Entrevista 1: el seguimiento por vacuna antirrábica lo hace Salud.</t>
  </si>
  <si>
    <t xml:space="preserve">D1</t>
  </si>
  <si>
    <t xml:space="preserve">Denuncia y seguimiento</t>
  </si>
  <si>
    <t xml:space="preserve">Denuncia en Zoonosis</t>
  </si>
  <si>
    <t xml:space="preserve">¿Realizó denuncia en Zoonosis del Municipio?: Sí / No</t>
  </si>
  <si>
    <t xml:space="preserve">El formulario es la denuncia en Zoonosis</t>
  </si>
  <si>
    <t xml:space="preserve">D2</t>
  </si>
  <si>
    <t xml:space="preserve">Denuncia policial</t>
  </si>
  <si>
    <t xml:space="preserve">¿Realizó denuncia policial?: Sí / No</t>
  </si>
  <si>
    <t xml:space="preserve">Adjunta copia de denuncia y/o exposición policial en relación al hecho: SI / NO</t>
  </si>
  <si>
    <t xml:space="preserve">F2 pregunta si la adjunta, no si la hizo.</t>
  </si>
  <si>
    <t xml:space="preserve">D3</t>
  </si>
  <si>
    <t xml:space="preserve">Motivo de no denunciar</t>
  </si>
  <si>
    <t xml:space="preserve">¿Por qué motivo no realizó la denuncia?: El animal es propio o conocido / No sabía donde denunciar / No sabía que había que denunciar / No me tomaron la denuncia / Razones económicas / No pasa nada después con la denuncia / Otros</t>
  </si>
  <si>
    <t xml:space="preserve">Solo F1. Condicional.</t>
  </si>
  <si>
    <t xml:space="preserve">D4</t>
  </si>
  <si>
    <t xml:space="preserve">Volvió a ver al animal suelto</t>
  </si>
  <si>
    <t xml:space="preserve">¿Volvió a ver al animal atacante suelto?: Sí / No / No volví a pasar por el lugar</t>
  </si>
  <si>
    <t xml:space="preserve">D5</t>
  </si>
  <si>
    <t xml:space="preserve">Comentarios o preguntas</t>
  </si>
  <si>
    <t xml:space="preserve">Lo invitamos a dejar sus comentarios o preguntas (texto)</t>
  </si>
  <si>
    <t xml:space="preserve">Solo F1 (F2 usa un único campo de observaciones, ver H10).</t>
  </si>
  <si>
    <t xml:space="preserve">Resumen de cobertura</t>
  </si>
  <si>
    <t xml:space="preserve">Se recalcula solo a partir de la hoja Matriz. «Presente» = Sí, Parcial o Implícito.</t>
  </si>
  <si>
    <t xml:space="preserve">1. Campos presentes por bloque</t>
  </si>
  <si>
    <t xml:space="preserve">Campos en la matriz</t>
  </si>
  <si>
    <t xml:space="preserve">F1</t>
  </si>
  <si>
    <t xml:space="preserve">F2</t>
  </si>
  <si>
    <t xml:space="preserve">F3</t>
  </si>
  <si>
    <t xml:space="preserve">Total</t>
  </si>
  <si>
    <t xml:space="preserve">2. Cruce F1 vs F2</t>
  </si>
  <si>
    <t xml:space="preserve">Situación</t>
  </si>
  <si>
    <t xml:space="preserve">Campos</t>
  </si>
  <si>
    <t xml:space="preserve">En F1 y F2</t>
  </si>
  <si>
    <t xml:space="preserve">Solo en F1</t>
  </si>
  <si>
    <t xml:space="preserve">Solo en F2</t>
  </si>
  <si>
    <t xml:space="preserve">Iguales en ambos (Sí / Sí)</t>
  </si>
  <si>
    <t xml:space="preserve">«Iguales» = Sí en ambos; puede haber diferencias de opciones (ver columna de notas en Matriz).</t>
  </si>
  <si>
    <t xml:space="preserve">3. Campos pedidos en la Entrevista 1 · ¿qué formulario los tiene?</t>
  </si>
  <si>
    <t xml:space="preserve">Fuente: «SIRAM - Estado tras Entrevista 1» (03/09/2026). Los mapeos marcados como inferidos hay que validarlos.</t>
  </si>
  <si>
    <t xml:space="preserve">Dato pedido</t>
  </si>
  <si>
    <t xml:space="preserve">Para qué</t>
  </si>
  <si>
    <t xml:space="preserve">Cuándo (fecha)</t>
  </si>
  <si>
    <t xml:space="preserve">Obligatorio</t>
  </si>
  <si>
    <t xml:space="preserve">Dónde (ciudad)</t>
  </si>
  <si>
    <t xml:space="preserve">Dónde (lugar)</t>
  </si>
  <si>
    <t xml:space="preserve">Situación de la persona → con quién estaba (mapeo inferido)</t>
  </si>
  <si>
    <t xml:space="preserve">Situación de la persona → actividad (mapeo inferido)</t>
  </si>
  <si>
    <t xml:space="preserve">Propio / ajeno</t>
  </si>
  <si>
    <t xml:space="preserve">Epidemiológico</t>
  </si>
  <si>
    <t xml:space="preserve">Zona corporal</t>
  </si>
  <si>
    <t xml:space="preserve">Ámbito → tipo de lugar (mapeo inferido)</t>
  </si>
  <si>
    <t xml:space="preserve">Correo</t>
  </si>
  <si>
    <t xml:space="preserve">Celular</t>
  </si>
  <si>
    <t xml:space="preserve">Fecha</t>
  </si>
  <si>
    <t xml:space="preserve">Tamaño del perro</t>
  </si>
  <si>
    <t xml:space="preserve">Filtro del mapa</t>
  </si>
  <si>
    <t xml:space="preserve">Color del perro</t>
  </si>
  <si>
    <t xml:space="preserve">Tipificación (RF.19)</t>
  </si>
  <si>
    <t xml:space="preserve">Fotos</t>
  </si>
  <si>
    <t xml:space="preserve">RF.25</t>
  </si>
  <si>
    <t xml:space="preserve">Hallazgos y pendientes</t>
  </si>
  <si>
    <t xml:space="preserve">Evidencia: Confirmado (formularios) = surge del texto de los formularios · Confirmado (Entrevista 1) = surge de la entrevista · Inferido = deducción del grupo, a validar · Pendiente = no hay información.</t>
  </si>
  <si>
    <t xml:space="preserve">ID</t>
  </si>
  <si>
    <t xml:space="preserve">Hallazgo</t>
  </si>
  <si>
    <t xml:space="preserve">Evidencia</t>
  </si>
  <si>
    <t xml:space="preserve">Impacto en SIRAM</t>
  </si>
  <si>
    <t xml:space="preserve">Siguiente acción / pregunta</t>
  </si>
  <si>
    <t xml:space="preserve">HZ01</t>
  </si>
  <si>
    <t xml:space="preserve">El formulario público (F1) no pide DNI; Zoonosis (F2) sí.</t>
  </si>
  <si>
    <t xml:space="preserve">Confirmado (formularios). DNI = clave principal de duplicados según la Entrevista 1.</t>
  </si>
  <si>
    <t xml:space="preserve">Los casos del F1 solo se pueden vincular con los del F2 por correo, teléfono y fecha (claves complementarias): más posibles duplicados sin resolver.</t>
  </si>
  <si>
    <t xml:space="preserve">Proponer a Adrián agregar DNI al formulario público.</t>
  </si>
  <si>
    <t xml:space="preserve">HZ02</t>
  </si>
  <si>
    <t xml:space="preserve">Zoonosis (F2) no registra zona del cuerpo, gravedad ni atención médica.</t>
  </si>
  <si>
    <t xml:space="preserve">L2, L3, L4–L7</t>
  </si>
  <si>
    <t xml:space="preserve">Confirmado (formularios). Zona corporal = variable epidemiológica (Entrevista 1). Que esos datos estén en el certificado médico adjunto es inferido.</t>
  </si>
  <si>
    <t xml:space="preserve">Los casos que entren solo por Zoonosis quedarán incompletos en zona corporal (semáforo).</t>
  </si>
  <si>
    <t xml:space="preserve">Entrevista 2 (Zoonosis): ¿transcriben algún dato del certificado médico? ¿Dónde?</t>
  </si>
  <si>
    <t xml:space="preserve">HZ03</t>
  </si>
  <si>
    <t xml:space="preserve">El F2 registra tipos de denuncia que la Entrevista 1 dejó fuera de alcance.</t>
  </si>
  <si>
    <t xml:space="preserve">Confirmado (formulario + Entrevista 1): «Canes sueltos, agresivos» y «Ataque de ADC a otro ADC» quedan fuera. «Mal estado de ADC» no se trató: pendiente.</t>
  </si>
  <si>
    <t xml:space="preserve">El importador de Zoonosis debe filtrar por Tipo de denuncia y no traer esos registros.</t>
  </si>
  <si>
    <t xml:space="preserve">Confirmar qué hacer con «Mal estado de ADC» y «Otros».</t>
  </si>
  <si>
    <t xml:space="preserve">HZ04</t>
  </si>
  <si>
    <t xml:space="preserve">Ninguno de los dos formularios tiene opción explícita para «ataque sin lesión» ni «lesión derivada» (p. ej. caída), que la Entrevista 1 confirmó como registrables.</t>
  </si>
  <si>
    <t xml:space="preserve">L1, T1</t>
  </si>
  <si>
    <t xml:space="preserve">Confirmado (formularios + Entrevista 1).</t>
  </si>
  <si>
    <t xml:space="preserve">Esos casos llegarían como «Otros» en texto libre; la tipificación (RF.19) necesitará revisión manual.</t>
  </si>
  <si>
    <t xml:space="preserve">Proponer agregar esas opciones al formulario público; preguntar a Zoonosis cómo los registra hoy.</t>
  </si>
  <si>
    <t xml:space="preserve">HZ05</t>
  </si>
  <si>
    <t xml:space="preserve">Arañazo (F1) vs «Lesión compatible» (F2): categorías distintas.</t>
  </si>
  <si>
    <t xml:space="preserve">Confirmado (formularios). Según la Entrevista 1 el arañazo es lesión compatible, así que F1 Arañazo → Lesión compatible (equivalencia inferida).</t>
  </si>
  <si>
    <t xml:space="preserve">Hace falta una tabla de equivalencias en la normalización.</t>
  </si>
  <si>
    <t xml:space="preserve">Validar la equivalencia con Adrián.</t>
  </si>
  <si>
    <t xml:space="preserve">HZ06</t>
  </si>
  <si>
    <t xml:space="preserve">Ambos formularios incluyen gatos.</t>
  </si>
  <si>
    <t xml:space="preserve">Confirmado (formularios). Gatos dentro del alcance: sin definir (Entrevista 1).</t>
  </si>
  <si>
    <t xml:space="preserve">Si quedan fuera, el importador descarta o marca esos registros.</t>
  </si>
  <si>
    <t xml:space="preserve">Definir con Adrián.</t>
  </si>
  <si>
    <t xml:space="preserve">HZ07</t>
  </si>
  <si>
    <t xml:space="preserve">El F2 distingue denunciante y lesionado; el F1 asume que responde la persona agredida.</t>
  </si>
  <si>
    <t xml:space="preserve">P1–P9</t>
  </si>
  <si>
    <t xml:space="preserve">Confirmado (F2). Inferido (F1).</t>
  </si>
  <si>
    <t xml:space="preserve">El modelo tiene que separar persona lesionada y denunciante, al menos para la fuente Zoonosis.</t>
  </si>
  <si>
    <t xml:space="preserve">Definir si SIRAM guarda los datos del denunciante o solo los del lesionado.</t>
  </si>
  <si>
    <t xml:space="preserve">HZ08</t>
  </si>
  <si>
    <t xml:space="preserve">Plazo de 48 h hábiles para presentar el certificado médico; si no, la denuncia se desglosa y se devuelve.</t>
  </si>
  <si>
    <t xml:space="preserve">X1, X3</t>
  </si>
  <si>
    <t xml:space="preserve">Confirmado (texto del F2).</t>
  </si>
  <si>
    <t xml:space="preserve">Una denuncia puede estar incompleta a la espera del certificado (encaja con el semáforo). Entrevista 1: en SIRAM no se dan de baja denuncias → definir cómo se refleja una denuncia desglosada.</t>
  </si>
  <si>
    <t xml:space="preserve">Entrevista 2 (Zoonosis): ¿qué pasa con una denuncia desglosada? ¿Queda registrada?</t>
  </si>
  <si>
    <t xml:space="preserve">HZ09</t>
  </si>
  <si>
    <t xml:space="preserve">Escalas de respuesta distintas: «No sé» en unos campos y no en otros; «Chico» vs «Pequeño»; «Solo/Acompañado» vs «Padre/Madre/Amigos/Otros».</t>
  </si>
  <si>
    <t xml:space="preserve">A2, A3, A9, A11, A12, H6</t>
  </si>
  <si>
    <t xml:space="preserve">Confirmado (formularios).</t>
  </si>
  <si>
    <t xml:space="preserve">La estructura común necesita un valor «desconocido» y tablas de equivalencia. H6: F2 → F1 se puede mapear; F1 → F2 no.</t>
  </si>
  <si>
    <t xml:space="preserve">Definir los valores normalizados de cada campo.</t>
  </si>
  <si>
    <t xml:space="preserve">HZ10</t>
  </si>
  <si>
    <t xml:space="preserve">«Color del animal» solo está en el F2, pero la Entrevista 1 lo pidió como filtro del mapa.</t>
  </si>
  <si>
    <t xml:space="preserve">El filtro por color no va a funcionar para casos del F1.</t>
  </si>
  <si>
    <t xml:space="preserve">Proponer agregar color al formulario público.</t>
  </si>
  <si>
    <t xml:space="preserve">HZ11</t>
  </si>
  <si>
    <t xml:space="preserve">«Situación de la persona» es obligatoria según la Entrevista 1, pero no está definida. F1 tiene con quién estaba y qué hacía; F2 solo con quién estaba.</t>
  </si>
  <si>
    <t xml:space="preserve">H6, H8, H9</t>
  </si>
  <si>
    <t xml:space="preserve">Pendiente (definición). El mapeo a H6/H8 es inferido.</t>
  </si>
  <si>
    <t xml:space="preserve">Si «situación» = actividad, todos los casos de Zoonosis quedan incompletos en un campo obligatorio.</t>
  </si>
  <si>
    <t xml:space="preserve">Definir qué significa «situación de la persona».</t>
  </si>
  <si>
    <t xml:space="preserve">HZ12</t>
  </si>
  <si>
    <t xml:space="preserve">El F2 es en papel.</t>
  </si>
  <si>
    <t xml:space="preserve">Confirmado (formato del F2).</t>
  </si>
  <si>
    <t xml:space="preserve">La importación depende de que Zoonosis lo transcriba a una planilla, o de cargarlo a mano. Entrevista 1: importación por plantilla común o mapeo columna a columna.</t>
  </si>
  <si>
    <t xml:space="preserve">Entrevista 2 (Zoonosis): ¿lo transcriben? ¿En qué formato? Pedir un ejemplo real anonimizado.</t>
  </si>
  <si>
    <t xml:space="preserve">HZ13</t>
  </si>
  <si>
    <t xml:space="preserve">En el F1, el bloque de «Lesión» a «Comentarios» aparece dos veces.</t>
  </si>
  <si>
    <t xml:space="preserve">L1–D5</t>
  </si>
  <si>
    <t xml:space="preserve">Inferido: secciones duplicadas por rama (perro / gato) del formulario online.</t>
  </si>
  <si>
    <t xml:space="preserve">En el export de respuestas esas preguntas aparecerían como columnas duplicadas; el importador tendría que unirlas.</t>
  </si>
  <si>
    <t xml:space="preserve">Pedir el export real (planilla de respuestas) del formulario público.</t>
  </si>
  <si>
    <t xml:space="preserve">HZ14</t>
  </si>
  <si>
    <t xml:space="preserve">El F1 no pregunta la fecha de la denuncia.</t>
  </si>
  <si>
    <t xml:space="preserve">Inferido: la planilla de respuestas de un formulario online suele incluir una marca temporal automática.</t>
  </si>
  <si>
    <t xml:space="preserve">Serviría como fecha de registro para la fuente ciudadana.</t>
  </si>
  <si>
    <t xml:space="preserve">Verificar con el export real.</t>
  </si>
  <si>
    <t xml:space="preserve">HZ15</t>
  </si>
  <si>
    <t xml:space="preserve">El F2 no pregunta la ciudad del hecho; el encabezado «Ushuaia» es el lugar de la denuncia.</t>
  </si>
  <si>
    <t xml:space="preserve">Inferido: los hechos denunciados en Zoonosis Ushuaia ocurren en Ushuaia.</t>
  </si>
  <si>
    <t xml:space="preserve">El importador asignaría Ushuaia por defecto.</t>
  </si>
  <si>
    <t xml:space="preserve">Validar con Zoonosis.</t>
  </si>
  <si>
    <t xml:space="preserve">HZ16</t>
  </si>
  <si>
    <t xml:space="preserve">«Conoce al propietario/a del domicilio» es ambiguo.</t>
  </si>
  <si>
    <t xml:space="preserve">Pendiente.</t>
  </si>
  <si>
    <t xml:space="preserve">No se puede normalizar sin saber si se refiere al domicilio del hecho o al del animal.</t>
  </si>
  <si>
    <t xml:space="preserve">Preguntar a Zoonosis.</t>
  </si>
  <si>
    <t xml:space="preserve">Ficha de cada formulario</t>
  </si>
  <si>
    <t xml:space="preserve">Atributo</t>
  </si>
  <si>
    <t xml:space="preserve">Nombre</t>
  </si>
  <si>
    <t xml:space="preserve">Formulario público (Schiavini)</t>
  </si>
  <si>
    <t xml:space="preserve">Formulario de denuncia de ADC (O.M. 4800)</t>
  </si>
  <si>
    <t xml:space="preserve">Organismo / responsable</t>
  </si>
  <si>
    <t xml:space="preserve">Schiavini (según el grupo)</t>
  </si>
  <si>
    <t xml:space="preserve">Municipalidad de Ushuaia – Dirección Municipal de Zoonosis</t>
  </si>
  <si>
    <t xml:space="preserve">Medio</t>
  </si>
  <si>
    <t xml:space="preserve">Formulario online (inferido: Google Forms, por el texto «Tu respuesta»)</t>
  </si>
  <si>
    <t xml:space="preserve">Papel, en ventanilla</t>
  </si>
  <si>
    <t xml:space="preserve">Quién lo completa</t>
  </si>
  <si>
    <t xml:space="preserve">La persona agredida (inferido)</t>
  </si>
  <si>
    <t xml:space="preserve">El denunciante (puede no ser el lesionado)</t>
  </si>
  <si>
    <t xml:space="preserve">Origen del dato en SIRAM</t>
  </si>
  <si>
    <t xml:space="preserve">Carga ciudadana, a verificar contra registros de organismos (Entrevista 1; asignación inferida)</t>
  </si>
  <si>
    <t xml:space="preserve">Organismo (Zoonosis Ushuaia)</t>
  </si>
  <si>
    <t xml:space="preserve">Especies</t>
  </si>
  <si>
    <t xml:space="preserve">Perro, gato</t>
  </si>
  <si>
    <t xml:space="preserve">Perro, gato (ADC = Animal Doméstico de Compañía)</t>
  </si>
  <si>
    <t xml:space="preserve">Ciudades</t>
  </si>
  <si>
    <t xml:space="preserve">Río Grande, Tolhuin, Ushuaia, Otros</t>
  </si>
  <si>
    <t xml:space="preserve">Ushuaia</t>
  </si>
  <si>
    <t xml:space="preserve">Base normativa</t>
  </si>
  <si>
    <t xml:space="preserve">No indicada</t>
  </si>
  <si>
    <t xml:space="preserve">Ordenanza Municipal 4800</t>
  </si>
  <si>
    <t xml:space="preserve">Campos obligatorios</t>
  </si>
  <si>
    <t xml:space="preserve">Solo «Ciudad» (*)</t>
  </si>
  <si>
    <t xml:space="preserve">No indicados (papel)</t>
  </si>
  <si>
    <t xml:space="preserve">Material recibido</t>
  </si>
  <si>
    <t xml:space="preserve">Texto de las preguntas, pegado en el chat (22/09/2026)</t>
  </si>
  <si>
    <t xml:space="preserve">PDF «denuciasVentanilla.pdf», 2 páginas (22/09/2026)</t>
  </si>
  <si>
    <t xml:space="preserve">Relación con la Entrevista 1</t>
  </si>
  <si>
    <t xml:space="preserve">Probablemente es el «formulario 2025» que Adrián iba a compartir con permiso de editor (inferido; confirmar)</t>
  </si>
  <si>
    <t xml:space="preserve">Fuente Zoonosis Ushuaia; contacto pendiente vía Adrián</t>
  </si>
  <si>
    <t xml:space="preserve">Notas</t>
  </si>
  <si>
    <t xml:space="preserve">Bloque «Lesión» → «Comentarios» repetido (HZ13)</t>
  </si>
  <si>
    <t xml:space="preserve">Adjuntos: certificado médico, denuncia policial, fotos. Plazo de 48 h hábiles para el certificado (Vito Dumas 220, lunes a viernes de 7 a 19 h).</t>
  </si>
  <si>
    <t xml:space="preserve">Campos presentes en la matriz (calculado)</t>
  </si>
  <si>
    <t xml:space="preserve">Cómo leer y completar la planilla</t>
  </si>
  <si>
    <t xml:space="preserve">Estados</t>
  </si>
  <si>
    <t xml:space="preserve">El formulario pregunta el dato.</t>
  </si>
  <si>
    <t xml:space="preserve">Lo pregunta de forma incompleta o indirecta (p. ej. solo si adjunta un documento).</t>
  </si>
  <si>
    <t xml:space="preserve">No lo pregunta, pero el dato se deduce del propio formulario (p. ej. la ciudad del encabezado).</t>
  </si>
  <si>
    <t xml:space="preserve">El formulario no tiene el dato.</t>
  </si>
  <si>
    <t xml:space="preserve">(vacío)</t>
  </si>
  <si>
    <t xml:space="preserve">Formulario todavía no cargado.</t>
  </si>
  <si>
    <t xml:space="preserve">Bloques y códigos</t>
  </si>
  <si>
    <t xml:space="preserve">P</t>
  </si>
  <si>
    <t xml:space="preserve">Persona (denunciante / lesionado)</t>
  </si>
  <si>
    <t xml:space="preserve">H</t>
  </si>
  <si>
    <t xml:space="preserve">Hecho (cuándo, dónde, situación)</t>
  </si>
  <si>
    <t xml:space="preserve">T</t>
  </si>
  <si>
    <t xml:space="preserve">X</t>
  </si>
  <si>
    <t xml:space="preserve">A</t>
  </si>
  <si>
    <t xml:space="preserve">L</t>
  </si>
  <si>
    <t xml:space="preserve">Lesión y atención médica</t>
  </si>
  <si>
    <t xml:space="preserve">D</t>
  </si>
  <si>
    <t xml:space="preserve">Cuando llegue el F3</t>
  </si>
  <si>
    <t xml:space="preserve">1</t>
  </si>
  <si>
    <t xml:space="preserve">En la hoja Matriz, completar las columnas amarillas del F3 (Estado + Pregunta y opciones) en cada fila.</t>
  </si>
  <si>
    <t xml:space="preserve">2</t>
  </si>
  <si>
    <t xml:space="preserve">Si el F3 tiene un campo que no está en la matriz, agregarlo en la primera fila libre al final (hay fórmulas preparadas hasta la fila 200), con su bloque y el código siguiente (p. ej. P10), y marcar F1 y F2 como «No».</t>
  </si>
  <si>
    <t xml:space="preserve">3</t>
  </si>
  <si>
    <t xml:space="preserve">Completar la columna F3 de la hoja Formularios.</t>
  </si>
  <si>
    <t xml:space="preserve">4</t>
  </si>
  <si>
    <t xml:space="preserve">Resumen y la columna «Presente en» se recalculan solos. Para ordenar por bloque, usar el filtro de la Matriz.</t>
  </si>
  <si>
    <t xml:space="preserve">Ejemplo de carga (ilustrativo, no es un dato real)</t>
  </si>
  <si>
    <t xml:space="preserve">Fila</t>
  </si>
  <si>
    <t xml:space="preserve">P6 · DNI</t>
  </si>
  <si>
    <t xml:space="preserve">F3 · Estado</t>
  </si>
  <si>
    <t xml:space="preserve">F3 · Pregunta y opciones</t>
  </si>
  <si>
    <t xml:space="preserve">Documento del paciente (texto)</t>
  </si>
  <si>
    <t xml:space="preserve">Fuentes</t>
  </si>
  <si>
    <t xml:space="preserve">Preguntas del formulario público, pegadas en el chat el 22/09/2026.</t>
  </si>
  <si>
    <t xml:space="preserve">PDF «denuciasVentanilla.pdf» (Municipalidad de Ushuaia, Dirección Municipal de Zoonosis), recibido el 22/09/2026.</t>
  </si>
  <si>
    <t xml:space="preserve">Entrevista 1</t>
  </si>
  <si>
    <t xml:space="preserve">«SIRAM - Estado tras Entrevista 1 (03-09-2026)», documento del proyecto.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</si>
</sst>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A4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A4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99999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7F52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i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D6E4F0"/>
        <bgColor rgb="FFDDEBD5"/>
      </patternFill>
    </fill>
    <fill>
      <patternFill patternType="solid">
        <fgColor rgb="FFDDEBD5"/>
        <bgColor rgb="FFD6E4F0"/>
      </patternFill>
    </fill>
    <fill>
      <patternFill patternType="solid">
        <fgColor rgb="FFECECEC"/>
        <bgColor rgb="FFEFE6F5"/>
      </patternFill>
    </fill>
    <fill>
      <patternFill patternType="solid">
        <fgColor rgb="FFEFE6F5"/>
        <bgColor rgb="FFECECEC"/>
      </patternFill>
    </fill>
    <fill>
      <patternFill patternType="solid">
        <fgColor rgb="FFFFF7D1"/>
        <bgColor rgb="FFF2F4F6"/>
      </patternFill>
    </fill>
    <fill>
      <patternFill patternType="solid">
        <fgColor rgb="FFF2F4F6"/>
        <bgColor rgb="FFECECEC"/>
      </patternFill>
    </fill>
    <fill>
      <patternFill patternType="solid">
        <fgColor rgb="FFC6EFCE"/>
        <bgColor rgb="FFDDEBD5"/>
      </patternFill>
    </fill>
    <fill>
      <patternFill patternType="solid">
        <fgColor rgb="FFF8D7D7"/>
        <bgColor rgb="FFEFE6F5"/>
      </patternFill>
    </fill>
    <fill>
      <patternFill patternType="solid">
        <fgColor rgb="FFFFEB9C"/>
        <bgColor rgb="FFFFF7D1"/>
      </patternFill>
    </fill>
    <fill>
      <patternFill patternType="solid">
        <fgColor rgb="FFFFFFFF"/>
        <bgColor rgb="FFF2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7CE"/>
      </left>
      <right style="thin">
        <color rgb="FFBFC7CE"/>
      </right>
      <top style="thin">
        <color rgb="FFBFC7CE"/>
      </top>
      <bottom style="thin">
        <color rgb="FFBFC7CE"/>
      </bottom>
      <diagonal/>
    </border>
    <border diagonalUp="false" diagonalDown="false">
      <left style="thin">
        <color rgb="FFBFC7CE"/>
      </left>
      <right style="thin">
        <color rgb="FFBFC7CE"/>
      </right>
      <top style="medium">
        <color rgb="FF1F3A4D"/>
      </top>
      <bottom style="thin">
        <color rgb="FFBFC7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A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8D7D7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DDEBD5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5200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FFF7D1"/>
          <bgColor rgb="FF000000"/>
        </patternFill>
      </fill>
    </dxf>
    <dxf>
      <fill>
        <patternFill patternType="solid">
          <fgColor rgb="FFEFE6F5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F52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8D7D7"/>
        </patternFill>
      </fill>
    </dxf>
    <dxf>
      <font>
        <name val="Arial"/>
        <charset val="1"/>
        <family val="0"/>
        <b val="1"/>
        <color rgb="FF9C0006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C7CE"/>
      <rgbColor rgb="FF808080"/>
      <rgbColor rgb="FF9999FF"/>
      <rgbColor rgb="FF993366"/>
      <rgbColor rgb="FFFFF7D1"/>
      <rgbColor rgb="FFF2F4F6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D5"/>
      <rgbColor rgb="FFC6EFCE"/>
      <rgbColor rgb="FFFFEB9C"/>
      <rgbColor rgb="FFEFE6F5"/>
      <rgbColor rgb="FFECECEC"/>
      <rgbColor rgb="FFCC99FF"/>
      <rgbColor rgb="FFF8D7D7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7F52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10"/>
    <col collapsed="false" customWidth="true" hidden="false" outlineLevel="0" max="7" min="7" style="0" width="46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11"/>
    <col collapsed="false" customWidth="true" hidden="false" outlineLevel="0" max="11" min="11" style="0" width="28"/>
    <col collapsed="false" customWidth="true" hidden="false" outlineLevel="0" max="12" min="12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4" t="s">
        <v>3</v>
      </c>
      <c r="E4" s="4"/>
      <c r="F4" s="5" t="s">
        <v>4</v>
      </c>
      <c r="G4" s="5"/>
      <c r="H4" s="6" t="s">
        <v>5</v>
      </c>
      <c r="I4" s="6"/>
      <c r="J4" s="7" t="s">
        <v>6</v>
      </c>
      <c r="K4" s="7"/>
      <c r="L4" s="7"/>
    </row>
    <row r="5" customFormat="false" ht="30" hidden="false" customHeight="true" outlineLevel="0" collapsed="false">
      <c r="A5" s="8" t="s">
        <v>7</v>
      </c>
      <c r="B5" s="8" t="s">
        <v>8</v>
      </c>
      <c r="C5" s="8" t="s">
        <v>9</v>
      </c>
      <c r="D5" s="9" t="s">
        <v>10</v>
      </c>
      <c r="E5" s="9" t="s">
        <v>11</v>
      </c>
      <c r="F5" s="10" t="s">
        <v>10</v>
      </c>
      <c r="G5" s="10" t="s">
        <v>11</v>
      </c>
      <c r="H5" s="11" t="s">
        <v>10</v>
      </c>
      <c r="I5" s="11" t="s">
        <v>11</v>
      </c>
      <c r="J5" s="12" t="s">
        <v>12</v>
      </c>
      <c r="K5" s="12" t="s">
        <v>13</v>
      </c>
      <c r="L5" s="12" t="s">
        <v>14</v>
      </c>
    </row>
    <row r="6" customFormat="false" ht="15" hidden="false" customHeight="false" outlineLevel="0" collapsed="false">
      <c r="A6" s="13" t="s">
        <v>15</v>
      </c>
      <c r="B6" s="14" t="s">
        <v>16</v>
      </c>
      <c r="C6" s="13" t="s">
        <v>17</v>
      </c>
      <c r="D6" s="15" t="s">
        <v>18</v>
      </c>
      <c r="E6" s="14" t="s">
        <v>19</v>
      </c>
      <c r="F6" s="15" t="s">
        <v>18</v>
      </c>
      <c r="G6" s="14" t="s">
        <v>20</v>
      </c>
      <c r="H6" s="16"/>
      <c r="I6" s="17"/>
      <c r="J6" s="18" t="n">
        <f aca="false">OR(D6="Sí",D6="Parcial",D6="Implícito")*1+OR(F6="Sí",F6="Parcial",F6="Implícito")*1+OR(H6="Sí",H6="Parcial",H6="Implícito")*1</f>
        <v>2</v>
      </c>
      <c r="K6" s="14"/>
      <c r="L6" s="14" t="s">
        <v>21</v>
      </c>
    </row>
    <row r="7" customFormat="false" ht="15" hidden="false" customHeight="false" outlineLevel="0" collapsed="false">
      <c r="A7" s="13" t="s">
        <v>22</v>
      </c>
      <c r="B7" s="14" t="s">
        <v>16</v>
      </c>
      <c r="C7" s="13" t="s">
        <v>23</v>
      </c>
      <c r="D7" s="15" t="s">
        <v>18</v>
      </c>
      <c r="E7" s="14" t="s">
        <v>24</v>
      </c>
      <c r="F7" s="15" t="s">
        <v>18</v>
      </c>
      <c r="G7" s="14" t="s">
        <v>25</v>
      </c>
      <c r="H7" s="16"/>
      <c r="I7" s="17"/>
      <c r="J7" s="18" t="n">
        <f aca="false">OR(D7="Sí",D7="Parcial",D7="Implícito")*1+OR(F7="Sí",F7="Parcial",F7="Implícito")*1+OR(H7="Sí",H7="Parcial",H7="Implícito")*1</f>
        <v>2</v>
      </c>
      <c r="K7" s="14" t="s">
        <v>26</v>
      </c>
      <c r="L7" s="14"/>
    </row>
    <row r="8" customFormat="false" ht="15" hidden="false" customHeight="false" outlineLevel="0" collapsed="false">
      <c r="A8" s="13" t="s">
        <v>27</v>
      </c>
      <c r="B8" s="14" t="s">
        <v>16</v>
      </c>
      <c r="C8" s="13" t="s">
        <v>28</v>
      </c>
      <c r="D8" s="15" t="s">
        <v>18</v>
      </c>
      <c r="E8" s="14" t="s">
        <v>29</v>
      </c>
      <c r="F8" s="15" t="s">
        <v>30</v>
      </c>
      <c r="G8" s="14" t="s">
        <v>31</v>
      </c>
      <c r="H8" s="16"/>
      <c r="I8" s="17"/>
      <c r="J8" s="18" t="n">
        <f aca="false">OR(D8="Sí",D8="Parcial",D8="Implícito")*1+OR(F8="Sí",F8="Parcial",F8="Implícito")*1+OR(H8="Sí",H8="Parcial",H8="Implícito")*1</f>
        <v>1</v>
      </c>
      <c r="K8" s="14" t="s">
        <v>32</v>
      </c>
      <c r="L8" s="14" t="s">
        <v>33</v>
      </c>
    </row>
    <row r="9" customFormat="false" ht="23.85" hidden="false" customHeight="false" outlineLevel="0" collapsed="false">
      <c r="A9" s="13" t="s">
        <v>34</v>
      </c>
      <c r="B9" s="14" t="s">
        <v>16</v>
      </c>
      <c r="C9" s="13" t="s">
        <v>35</v>
      </c>
      <c r="D9" s="15" t="s">
        <v>18</v>
      </c>
      <c r="E9" s="14" t="s">
        <v>36</v>
      </c>
      <c r="F9" s="15" t="s">
        <v>18</v>
      </c>
      <c r="G9" s="14" t="s">
        <v>37</v>
      </c>
      <c r="H9" s="16"/>
      <c r="I9" s="17"/>
      <c r="J9" s="18" t="n">
        <f aca="false">OR(D9="Sí",D9="Parcial",D9="Implícito")*1+OR(F9="Sí",F9="Parcial",F9="Implícito")*1+OR(H9="Sí",H9="Parcial",H9="Implícito")*1</f>
        <v>2</v>
      </c>
      <c r="K9" s="14" t="s">
        <v>38</v>
      </c>
      <c r="L9" s="14"/>
    </row>
    <row r="10" customFormat="false" ht="46.25" hidden="false" customHeight="false" outlineLevel="0" collapsed="false">
      <c r="A10" s="13" t="s">
        <v>39</v>
      </c>
      <c r="B10" s="14" t="s">
        <v>16</v>
      </c>
      <c r="C10" s="13" t="s">
        <v>40</v>
      </c>
      <c r="D10" s="15" t="s">
        <v>18</v>
      </c>
      <c r="E10" s="14" t="s">
        <v>41</v>
      </c>
      <c r="F10" s="15" t="s">
        <v>30</v>
      </c>
      <c r="G10" s="14" t="s">
        <v>31</v>
      </c>
      <c r="H10" s="16"/>
      <c r="I10" s="17"/>
      <c r="J10" s="18" t="n">
        <f aca="false">OR(D10="Sí",D10="Parcial",D10="Implícito")*1+OR(F10="Sí",F10="Parcial",F10="Implícito")*1+OR(H10="Sí",H10="Parcial",H10="Implícito")*1</f>
        <v>1</v>
      </c>
      <c r="K10" s="14"/>
      <c r="L10" s="14" t="s">
        <v>42</v>
      </c>
    </row>
    <row r="11" customFormat="false" ht="15" hidden="false" customHeight="false" outlineLevel="0" collapsed="false">
      <c r="A11" s="13" t="s">
        <v>43</v>
      </c>
      <c r="B11" s="14" t="s">
        <v>16</v>
      </c>
      <c r="C11" s="13" t="s">
        <v>44</v>
      </c>
      <c r="D11" s="15" t="s">
        <v>30</v>
      </c>
      <c r="E11" s="14" t="s">
        <v>31</v>
      </c>
      <c r="F11" s="15" t="s">
        <v>18</v>
      </c>
      <c r="G11" s="14" t="s">
        <v>45</v>
      </c>
      <c r="H11" s="16"/>
      <c r="I11" s="17"/>
      <c r="J11" s="18" t="n">
        <f aca="false">OR(D11="Sí",D11="Parcial",D11="Implícito")*1+OR(F11="Sí",F11="Parcial",F11="Implícito")*1+OR(H11="Sí",H11="Parcial",H11="Implícito")*1</f>
        <v>1</v>
      </c>
      <c r="K11" s="14" t="s">
        <v>46</v>
      </c>
      <c r="L11" s="14" t="s">
        <v>47</v>
      </c>
    </row>
    <row r="12" customFormat="false" ht="15" hidden="false" customHeight="false" outlineLevel="0" collapsed="false">
      <c r="A12" s="13" t="s">
        <v>48</v>
      </c>
      <c r="B12" s="14" t="s">
        <v>16</v>
      </c>
      <c r="C12" s="13" t="s">
        <v>49</v>
      </c>
      <c r="D12" s="15" t="s">
        <v>30</v>
      </c>
      <c r="E12" s="14" t="s">
        <v>31</v>
      </c>
      <c r="F12" s="15" t="s">
        <v>18</v>
      </c>
      <c r="G12" s="14" t="s">
        <v>50</v>
      </c>
      <c r="H12" s="16"/>
      <c r="I12" s="17"/>
      <c r="J12" s="18" t="n">
        <f aca="false">OR(D12="Sí",D12="Parcial",D12="Implícito")*1+OR(F12="Sí",F12="Parcial",F12="Implícito")*1+OR(H12="Sí",H12="Parcial",H12="Implícito")*1</f>
        <v>1</v>
      </c>
      <c r="K12" s="14"/>
      <c r="L12" s="14" t="s">
        <v>51</v>
      </c>
    </row>
    <row r="13" customFormat="false" ht="15" hidden="false" customHeight="false" outlineLevel="0" collapsed="false">
      <c r="A13" s="13" t="s">
        <v>52</v>
      </c>
      <c r="B13" s="14" t="s">
        <v>16</v>
      </c>
      <c r="C13" s="13" t="s">
        <v>53</v>
      </c>
      <c r="D13" s="15" t="s">
        <v>30</v>
      </c>
      <c r="E13" s="14" t="s">
        <v>31</v>
      </c>
      <c r="F13" s="15" t="s">
        <v>18</v>
      </c>
      <c r="G13" s="14" t="s">
        <v>54</v>
      </c>
      <c r="H13" s="16"/>
      <c r="I13" s="17"/>
      <c r="J13" s="18" t="n">
        <f aca="false">OR(D13="Sí",D13="Parcial",D13="Implícito")*1+OR(F13="Sí",F13="Parcial",F13="Implícito")*1+OR(H13="Sí",H13="Parcial",H13="Implícito")*1</f>
        <v>1</v>
      </c>
      <c r="K13" s="14"/>
      <c r="L13" s="14" t="s">
        <v>55</v>
      </c>
    </row>
    <row r="14" customFormat="false" ht="23.85" hidden="false" customHeight="false" outlineLevel="0" collapsed="false">
      <c r="A14" s="13" t="s">
        <v>56</v>
      </c>
      <c r="B14" s="14" t="s">
        <v>16</v>
      </c>
      <c r="C14" s="13" t="s">
        <v>57</v>
      </c>
      <c r="D14" s="15" t="s">
        <v>30</v>
      </c>
      <c r="E14" s="14" t="s">
        <v>31</v>
      </c>
      <c r="F14" s="15" t="s">
        <v>18</v>
      </c>
      <c r="G14" s="14" t="s">
        <v>58</v>
      </c>
      <c r="H14" s="16"/>
      <c r="I14" s="17"/>
      <c r="J14" s="18" t="n">
        <f aca="false">OR(D14="Sí",D14="Parcial",D14="Implícito")*1+OR(F14="Sí",F14="Parcial",F14="Implícito")*1+OR(H14="Sí",H14="Parcial",H14="Implícito")*1</f>
        <v>1</v>
      </c>
      <c r="K14" s="14"/>
      <c r="L14" s="14" t="s">
        <v>59</v>
      </c>
    </row>
    <row r="15" customFormat="false" ht="35.05" hidden="false" customHeight="false" outlineLevel="0" collapsed="false">
      <c r="A15" s="19" t="s">
        <v>60</v>
      </c>
      <c r="B15" s="20" t="s">
        <v>61</v>
      </c>
      <c r="C15" s="19" t="s">
        <v>62</v>
      </c>
      <c r="D15" s="21" t="s">
        <v>30</v>
      </c>
      <c r="E15" s="20" t="s">
        <v>31</v>
      </c>
      <c r="F15" s="21" t="s">
        <v>18</v>
      </c>
      <c r="G15" s="20" t="s">
        <v>63</v>
      </c>
      <c r="H15" s="22"/>
      <c r="I15" s="23"/>
      <c r="J15" s="24" t="n">
        <f aca="false">OR(D15="Sí",D15="Parcial",D15="Implícito")*1+OR(F15="Sí",F15="Parcial",F15="Implícito")*1+OR(H15="Sí",H15="Parcial",H15="Implícito")*1</f>
        <v>1</v>
      </c>
      <c r="K15" s="20"/>
      <c r="L15" s="20" t="s">
        <v>64</v>
      </c>
    </row>
    <row r="16" customFormat="false" ht="23.85" hidden="false" customHeight="false" outlineLevel="0" collapsed="false">
      <c r="A16" s="13" t="s">
        <v>65</v>
      </c>
      <c r="B16" s="14" t="s">
        <v>61</v>
      </c>
      <c r="C16" s="13" t="s">
        <v>66</v>
      </c>
      <c r="D16" s="15" t="s">
        <v>18</v>
      </c>
      <c r="E16" s="14" t="s">
        <v>67</v>
      </c>
      <c r="F16" s="15" t="s">
        <v>18</v>
      </c>
      <c r="G16" s="14" t="s">
        <v>68</v>
      </c>
      <c r="H16" s="16"/>
      <c r="I16" s="17"/>
      <c r="J16" s="18" t="n">
        <f aca="false">OR(D16="Sí",D16="Parcial",D16="Implícito")*1+OR(F16="Sí",F16="Parcial",F16="Implícito")*1+OR(H16="Sí",H16="Parcial",H16="Implícito")*1</f>
        <v>2</v>
      </c>
      <c r="K16" s="14" t="s">
        <v>69</v>
      </c>
      <c r="L16" s="14"/>
    </row>
    <row r="17" customFormat="false" ht="15" hidden="false" customHeight="false" outlineLevel="0" collapsed="false">
      <c r="A17" s="13" t="s">
        <v>70</v>
      </c>
      <c r="B17" s="14" t="s">
        <v>61</v>
      </c>
      <c r="C17" s="13" t="s">
        <v>71</v>
      </c>
      <c r="D17" s="15" t="s">
        <v>18</v>
      </c>
      <c r="E17" s="14" t="s">
        <v>72</v>
      </c>
      <c r="F17" s="15" t="s">
        <v>18</v>
      </c>
      <c r="G17" s="14" t="s">
        <v>73</v>
      </c>
      <c r="H17" s="16"/>
      <c r="I17" s="17"/>
      <c r="J17" s="18" t="n">
        <f aca="false">OR(D17="Sí",D17="Parcial",D17="Implícito")*1+OR(F17="Sí",F17="Parcial",F17="Implícito")*1+OR(H17="Sí",H17="Parcial",H17="Implícito")*1</f>
        <v>2</v>
      </c>
      <c r="K17" s="14"/>
      <c r="L17" s="14"/>
    </row>
    <row r="18" customFormat="false" ht="23.85" hidden="false" customHeight="false" outlineLevel="0" collapsed="false">
      <c r="A18" s="13" t="s">
        <v>74</v>
      </c>
      <c r="B18" s="14" t="s">
        <v>61</v>
      </c>
      <c r="C18" s="13" t="s">
        <v>75</v>
      </c>
      <c r="D18" s="15" t="s">
        <v>18</v>
      </c>
      <c r="E18" s="14" t="s">
        <v>76</v>
      </c>
      <c r="F18" s="15" t="s">
        <v>77</v>
      </c>
      <c r="G18" s="14" t="s">
        <v>78</v>
      </c>
      <c r="H18" s="16"/>
      <c r="I18" s="17"/>
      <c r="J18" s="18" t="n">
        <f aca="false">OR(D18="Sí",D18="Parcial",D18="Implícito")*1+OR(F18="Sí",F18="Parcial",F18="Implícito")*1+OR(H18="Sí",H18="Parcial",H18="Implícito")*1</f>
        <v>2</v>
      </c>
      <c r="K18" s="14" t="s">
        <v>79</v>
      </c>
      <c r="L18" s="14" t="s">
        <v>80</v>
      </c>
    </row>
    <row r="19" customFormat="false" ht="23.85" hidden="false" customHeight="false" outlineLevel="0" collapsed="false">
      <c r="A19" s="13" t="s">
        <v>81</v>
      </c>
      <c r="B19" s="14" t="s">
        <v>61</v>
      </c>
      <c r="C19" s="13" t="s">
        <v>82</v>
      </c>
      <c r="D19" s="15" t="s">
        <v>18</v>
      </c>
      <c r="E19" s="14" t="s">
        <v>83</v>
      </c>
      <c r="F19" s="15" t="s">
        <v>18</v>
      </c>
      <c r="G19" s="14" t="s">
        <v>84</v>
      </c>
      <c r="H19" s="16"/>
      <c r="I19" s="17"/>
      <c r="J19" s="18" t="n">
        <f aca="false">OR(D19="Sí",D19="Parcial",D19="Implícito")*1+OR(F19="Sí",F19="Parcial",F19="Implícito")*1+OR(H19="Sí",H19="Parcial",H19="Implícito")*1</f>
        <v>2</v>
      </c>
      <c r="K19" s="14" t="s">
        <v>79</v>
      </c>
      <c r="L19" s="14" t="s">
        <v>85</v>
      </c>
    </row>
    <row r="20" customFormat="false" ht="23.85" hidden="false" customHeight="false" outlineLevel="0" collapsed="false">
      <c r="A20" s="13" t="s">
        <v>86</v>
      </c>
      <c r="B20" s="14" t="s">
        <v>61</v>
      </c>
      <c r="C20" s="13" t="s">
        <v>87</v>
      </c>
      <c r="D20" s="15" t="s">
        <v>18</v>
      </c>
      <c r="E20" s="14" t="s">
        <v>88</v>
      </c>
      <c r="F20" s="15" t="s">
        <v>18</v>
      </c>
      <c r="G20" s="14" t="s">
        <v>89</v>
      </c>
      <c r="H20" s="16"/>
      <c r="I20" s="17"/>
      <c r="J20" s="18" t="n">
        <f aca="false">OR(D20="Sí",D20="Parcial",D20="Implícito")*1+OR(F20="Sí",F20="Parcial",F20="Implícito")*1+OR(H20="Sí",H20="Parcial",H20="Implícito")*1</f>
        <v>2</v>
      </c>
      <c r="K20" s="14" t="s">
        <v>90</v>
      </c>
      <c r="L20" s="14" t="s">
        <v>91</v>
      </c>
    </row>
    <row r="21" customFormat="false" ht="35.05" hidden="false" customHeight="false" outlineLevel="0" collapsed="false">
      <c r="A21" s="13" t="s">
        <v>92</v>
      </c>
      <c r="B21" s="14" t="s">
        <v>61</v>
      </c>
      <c r="C21" s="13" t="s">
        <v>93</v>
      </c>
      <c r="D21" s="15" t="s">
        <v>18</v>
      </c>
      <c r="E21" s="14" t="s">
        <v>94</v>
      </c>
      <c r="F21" s="15" t="s">
        <v>18</v>
      </c>
      <c r="G21" s="14" t="s">
        <v>95</v>
      </c>
      <c r="H21" s="16"/>
      <c r="I21" s="17"/>
      <c r="J21" s="18" t="n">
        <f aca="false">OR(D21="Sí",D21="Parcial",D21="Implícito")*1+OR(F21="Sí",F21="Parcial",F21="Implícito")*1+OR(H21="Sí",H21="Parcial",H21="Implícito")*1</f>
        <v>2</v>
      </c>
      <c r="K21" s="14" t="s">
        <v>96</v>
      </c>
      <c r="L21" s="14" t="s">
        <v>97</v>
      </c>
    </row>
    <row r="22" customFormat="false" ht="23.85" hidden="false" customHeight="false" outlineLevel="0" collapsed="false">
      <c r="A22" s="13" t="s">
        <v>98</v>
      </c>
      <c r="B22" s="14" t="s">
        <v>61</v>
      </c>
      <c r="C22" s="13" t="s">
        <v>99</v>
      </c>
      <c r="D22" s="15" t="s">
        <v>18</v>
      </c>
      <c r="E22" s="14" t="s">
        <v>100</v>
      </c>
      <c r="F22" s="15" t="s">
        <v>30</v>
      </c>
      <c r="G22" s="14" t="s">
        <v>31</v>
      </c>
      <c r="H22" s="16"/>
      <c r="I22" s="17"/>
      <c r="J22" s="18" t="n">
        <f aca="false">OR(D22="Sí",D22="Parcial",D22="Implícito")*1+OR(F22="Sí",F22="Parcial",F22="Implícito")*1+OR(H22="Sí",H22="Parcial",H22="Implícito")*1</f>
        <v>1</v>
      </c>
      <c r="K22" s="14"/>
      <c r="L22" s="14" t="s">
        <v>33</v>
      </c>
    </row>
    <row r="23" customFormat="false" ht="46.25" hidden="false" customHeight="false" outlineLevel="0" collapsed="false">
      <c r="A23" s="13" t="s">
        <v>101</v>
      </c>
      <c r="B23" s="14" t="s">
        <v>61</v>
      </c>
      <c r="C23" s="13" t="s">
        <v>102</v>
      </c>
      <c r="D23" s="15" t="s">
        <v>18</v>
      </c>
      <c r="E23" s="14" t="s">
        <v>103</v>
      </c>
      <c r="F23" s="15" t="s">
        <v>30</v>
      </c>
      <c r="G23" s="14" t="s">
        <v>31</v>
      </c>
      <c r="H23" s="16"/>
      <c r="I23" s="17"/>
      <c r="J23" s="18" t="n">
        <f aca="false">OR(D23="Sí",D23="Parcial",D23="Implícito")*1+OR(F23="Sí",F23="Parcial",F23="Implícito")*1+OR(H23="Sí",H23="Parcial",H23="Implícito")*1</f>
        <v>1</v>
      </c>
      <c r="K23" s="14" t="s">
        <v>96</v>
      </c>
      <c r="L23" s="14" t="s">
        <v>104</v>
      </c>
    </row>
    <row r="24" customFormat="false" ht="46.25" hidden="false" customHeight="false" outlineLevel="0" collapsed="false">
      <c r="A24" s="13" t="s">
        <v>105</v>
      </c>
      <c r="B24" s="14" t="s">
        <v>61</v>
      </c>
      <c r="C24" s="13" t="s">
        <v>106</v>
      </c>
      <c r="D24" s="15" t="s">
        <v>18</v>
      </c>
      <c r="E24" s="14" t="s">
        <v>107</v>
      </c>
      <c r="F24" s="15" t="s">
        <v>30</v>
      </c>
      <c r="G24" s="14" t="s">
        <v>31</v>
      </c>
      <c r="H24" s="16"/>
      <c r="I24" s="17"/>
      <c r="J24" s="18" t="n">
        <f aca="false">OR(D24="Sí",D24="Parcial",D24="Implícito")*1+OR(F24="Sí",F24="Parcial",F24="Implícito")*1+OR(H24="Sí",H24="Parcial",H24="Implícito")*1</f>
        <v>1</v>
      </c>
      <c r="K24" s="14"/>
      <c r="L24" s="14" t="s">
        <v>108</v>
      </c>
    </row>
    <row r="25" customFormat="false" ht="23.85" hidden="false" customHeight="false" outlineLevel="0" collapsed="false">
      <c r="A25" s="13" t="s">
        <v>109</v>
      </c>
      <c r="B25" s="14" t="s">
        <v>61</v>
      </c>
      <c r="C25" s="13" t="s">
        <v>110</v>
      </c>
      <c r="D25" s="15" t="s">
        <v>18</v>
      </c>
      <c r="E25" s="14" t="s">
        <v>111</v>
      </c>
      <c r="F25" s="15" t="s">
        <v>18</v>
      </c>
      <c r="G25" s="14" t="s">
        <v>112</v>
      </c>
      <c r="H25" s="16"/>
      <c r="I25" s="17"/>
      <c r="J25" s="18" t="n">
        <f aca="false">OR(D25="Sí",D25="Parcial",D25="Implícito")*1+OR(F25="Sí",F25="Parcial",F25="Implícito")*1+OR(H25="Sí",H25="Parcial",H25="Implícito")*1</f>
        <v>2</v>
      </c>
      <c r="K25" s="14"/>
      <c r="L25" s="14" t="s">
        <v>113</v>
      </c>
    </row>
    <row r="26" customFormat="false" ht="23.85" hidden="false" customHeight="false" outlineLevel="0" collapsed="false">
      <c r="A26" s="13" t="s">
        <v>114</v>
      </c>
      <c r="B26" s="14" t="s">
        <v>61</v>
      </c>
      <c r="C26" s="13" t="s">
        <v>115</v>
      </c>
      <c r="D26" s="15" t="s">
        <v>30</v>
      </c>
      <c r="E26" s="14" t="s">
        <v>31</v>
      </c>
      <c r="F26" s="15" t="s">
        <v>18</v>
      </c>
      <c r="G26" s="14" t="s">
        <v>116</v>
      </c>
      <c r="H26" s="16"/>
      <c r="I26" s="17"/>
      <c r="J26" s="18" t="n">
        <f aca="false">OR(D26="Sí",D26="Parcial",D26="Implícito")*1+OR(F26="Sí",F26="Parcial",F26="Implícito")*1+OR(H26="Sí",H26="Parcial",H26="Implícito")*1</f>
        <v>1</v>
      </c>
      <c r="K26" s="14"/>
      <c r="L26" s="14" t="s">
        <v>117</v>
      </c>
    </row>
    <row r="27" customFormat="false" ht="46.25" hidden="false" customHeight="false" outlineLevel="0" collapsed="false">
      <c r="A27" s="19" t="s">
        <v>118</v>
      </c>
      <c r="B27" s="20" t="s">
        <v>119</v>
      </c>
      <c r="C27" s="19" t="s">
        <v>120</v>
      </c>
      <c r="D27" s="21" t="s">
        <v>30</v>
      </c>
      <c r="E27" s="20" t="s">
        <v>31</v>
      </c>
      <c r="F27" s="21" t="s">
        <v>18</v>
      </c>
      <c r="G27" s="20" t="s">
        <v>121</v>
      </c>
      <c r="H27" s="22"/>
      <c r="I27" s="23"/>
      <c r="J27" s="24" t="n">
        <f aca="false">OR(D27="Sí",D27="Parcial",D27="Implícito")*1+OR(F27="Sí",F27="Parcial",F27="Implícito")*1+OR(H27="Sí",H27="Parcial",H27="Implícito")*1</f>
        <v>1</v>
      </c>
      <c r="K27" s="20" t="s">
        <v>122</v>
      </c>
      <c r="L27" s="20" t="s">
        <v>123</v>
      </c>
    </row>
    <row r="28" customFormat="false" ht="35.05" hidden="false" customHeight="false" outlineLevel="0" collapsed="false">
      <c r="A28" s="19" t="s">
        <v>124</v>
      </c>
      <c r="B28" s="20" t="s">
        <v>125</v>
      </c>
      <c r="C28" s="19" t="s">
        <v>126</v>
      </c>
      <c r="D28" s="21" t="s">
        <v>30</v>
      </c>
      <c r="E28" s="20" t="s">
        <v>31</v>
      </c>
      <c r="F28" s="21" t="s">
        <v>18</v>
      </c>
      <c r="G28" s="20" t="s">
        <v>127</v>
      </c>
      <c r="H28" s="22"/>
      <c r="I28" s="23"/>
      <c r="J28" s="24" t="n">
        <f aca="false">OR(D28="Sí",D28="Parcial",D28="Implícito")*1+OR(F28="Sí",F28="Parcial",F28="Implícito")*1+OR(H28="Sí",H28="Parcial",H28="Implícito")*1</f>
        <v>1</v>
      </c>
      <c r="K28" s="20"/>
      <c r="L28" s="20" t="s">
        <v>128</v>
      </c>
    </row>
    <row r="29" customFormat="false" ht="23.85" hidden="false" customHeight="false" outlineLevel="0" collapsed="false">
      <c r="A29" s="13" t="s">
        <v>129</v>
      </c>
      <c r="B29" s="14" t="s">
        <v>125</v>
      </c>
      <c r="C29" s="13" t="s">
        <v>130</v>
      </c>
      <c r="D29" s="15" t="s">
        <v>30</v>
      </c>
      <c r="E29" s="14" t="s">
        <v>31</v>
      </c>
      <c r="F29" s="15" t="s">
        <v>18</v>
      </c>
      <c r="G29" s="14" t="s">
        <v>131</v>
      </c>
      <c r="H29" s="16"/>
      <c r="I29" s="17"/>
      <c r="J29" s="18" t="n">
        <f aca="false">OR(D29="Sí",D29="Parcial",D29="Implícito")*1+OR(F29="Sí",F29="Parcial",F29="Implícito")*1+OR(H29="Sí",H29="Parcial",H29="Implícito")*1</f>
        <v>1</v>
      </c>
      <c r="K29" s="14" t="s">
        <v>132</v>
      </c>
      <c r="L29" s="14" t="s">
        <v>133</v>
      </c>
    </row>
    <row r="30" customFormat="false" ht="35.05" hidden="false" customHeight="false" outlineLevel="0" collapsed="false">
      <c r="A30" s="13" t="s">
        <v>134</v>
      </c>
      <c r="B30" s="14" t="s">
        <v>125</v>
      </c>
      <c r="C30" s="13" t="s">
        <v>135</v>
      </c>
      <c r="D30" s="15" t="s">
        <v>30</v>
      </c>
      <c r="E30" s="14" t="s">
        <v>31</v>
      </c>
      <c r="F30" s="15" t="s">
        <v>18</v>
      </c>
      <c r="G30" s="14" t="s">
        <v>136</v>
      </c>
      <c r="H30" s="16"/>
      <c r="I30" s="17"/>
      <c r="J30" s="18" t="n">
        <f aca="false">OR(D30="Sí",D30="Parcial",D30="Implícito")*1+OR(F30="Sí",F30="Parcial",F30="Implícito")*1+OR(H30="Sí",H30="Parcial",H30="Implícito")*1</f>
        <v>1</v>
      </c>
      <c r="K30" s="14"/>
      <c r="L30" s="14" t="s">
        <v>137</v>
      </c>
    </row>
    <row r="31" customFormat="false" ht="23.85" hidden="false" customHeight="false" outlineLevel="0" collapsed="false">
      <c r="A31" s="19" t="s">
        <v>138</v>
      </c>
      <c r="B31" s="20" t="s">
        <v>139</v>
      </c>
      <c r="C31" s="19" t="s">
        <v>140</v>
      </c>
      <c r="D31" s="21" t="s">
        <v>18</v>
      </c>
      <c r="E31" s="20" t="s">
        <v>141</v>
      </c>
      <c r="F31" s="21" t="s">
        <v>18</v>
      </c>
      <c r="G31" s="20" t="s">
        <v>142</v>
      </c>
      <c r="H31" s="22"/>
      <c r="I31" s="23"/>
      <c r="J31" s="24" t="n">
        <f aca="false">OR(D31="Sí",D31="Parcial",D31="Implícito")*1+OR(F31="Sí",F31="Parcial",F31="Implícito")*1+OR(H31="Sí",H31="Parcial",H31="Implícito")*1</f>
        <v>2</v>
      </c>
      <c r="K31" s="20"/>
      <c r="L31" s="20" t="s">
        <v>143</v>
      </c>
    </row>
    <row r="32" customFormat="false" ht="46.25" hidden="false" customHeight="false" outlineLevel="0" collapsed="false">
      <c r="A32" s="13" t="s">
        <v>144</v>
      </c>
      <c r="B32" s="14" t="s">
        <v>139</v>
      </c>
      <c r="C32" s="13" t="s">
        <v>145</v>
      </c>
      <c r="D32" s="15" t="s">
        <v>18</v>
      </c>
      <c r="E32" s="14" t="s">
        <v>146</v>
      </c>
      <c r="F32" s="15" t="s">
        <v>18</v>
      </c>
      <c r="G32" s="14" t="s">
        <v>147</v>
      </c>
      <c r="H32" s="16"/>
      <c r="I32" s="17"/>
      <c r="J32" s="18" t="n">
        <f aca="false">OR(D32="Sí",D32="Parcial",D32="Implícito")*1+OR(F32="Sí",F32="Parcial",F32="Implícito")*1+OR(H32="Sí",H32="Parcial",H32="Implícito")*1</f>
        <v>2</v>
      </c>
      <c r="K32" s="14" t="s">
        <v>148</v>
      </c>
      <c r="L32" s="14" t="s">
        <v>149</v>
      </c>
    </row>
    <row r="33" customFormat="false" ht="15" hidden="false" customHeight="false" outlineLevel="0" collapsed="false">
      <c r="A33" s="13" t="s">
        <v>150</v>
      </c>
      <c r="B33" s="14" t="s">
        <v>139</v>
      </c>
      <c r="C33" s="13" t="s">
        <v>151</v>
      </c>
      <c r="D33" s="15" t="s">
        <v>18</v>
      </c>
      <c r="E33" s="14" t="s">
        <v>152</v>
      </c>
      <c r="F33" s="15" t="s">
        <v>18</v>
      </c>
      <c r="G33" s="14" t="s">
        <v>153</v>
      </c>
      <c r="H33" s="16"/>
      <c r="I33" s="17"/>
      <c r="J33" s="18" t="n">
        <f aca="false">OR(D33="Sí",D33="Parcial",D33="Implícito")*1+OR(F33="Sí",F33="Parcial",F33="Implícito")*1+OR(H33="Sí",H33="Parcial",H33="Implícito")*1</f>
        <v>2</v>
      </c>
      <c r="K33" s="14"/>
      <c r="L33" s="14" t="s">
        <v>154</v>
      </c>
    </row>
    <row r="34" customFormat="false" ht="15" hidden="false" customHeight="false" outlineLevel="0" collapsed="false">
      <c r="A34" s="13" t="s">
        <v>155</v>
      </c>
      <c r="B34" s="14" t="s">
        <v>139</v>
      </c>
      <c r="C34" s="13" t="s">
        <v>156</v>
      </c>
      <c r="D34" s="15" t="s">
        <v>18</v>
      </c>
      <c r="E34" s="14" t="s">
        <v>157</v>
      </c>
      <c r="F34" s="15" t="s">
        <v>18</v>
      </c>
      <c r="G34" s="14" t="s">
        <v>158</v>
      </c>
      <c r="H34" s="16"/>
      <c r="I34" s="17"/>
      <c r="J34" s="18" t="n">
        <f aca="false">OR(D34="Sí",D34="Parcial",D34="Implícito")*1+OR(F34="Sí",F34="Parcial",F34="Implícito")*1+OR(H34="Sí",H34="Parcial",H34="Implícito")*1</f>
        <v>2</v>
      </c>
      <c r="K34" s="14"/>
      <c r="L34" s="14"/>
    </row>
    <row r="35" customFormat="false" ht="23.85" hidden="false" customHeight="false" outlineLevel="0" collapsed="false">
      <c r="A35" s="13" t="s">
        <v>159</v>
      </c>
      <c r="B35" s="14" t="s">
        <v>139</v>
      </c>
      <c r="C35" s="13" t="s">
        <v>160</v>
      </c>
      <c r="D35" s="15" t="s">
        <v>18</v>
      </c>
      <c r="E35" s="14" t="s">
        <v>161</v>
      </c>
      <c r="F35" s="15" t="s">
        <v>18</v>
      </c>
      <c r="G35" s="14" t="s">
        <v>162</v>
      </c>
      <c r="H35" s="16"/>
      <c r="I35" s="17"/>
      <c r="J35" s="18" t="n">
        <f aca="false">OR(D35="Sí",D35="Parcial",D35="Implícito")*1+OR(F35="Sí",F35="Parcial",F35="Implícito")*1+OR(H35="Sí",H35="Parcial",H35="Implícito")*1</f>
        <v>2</v>
      </c>
      <c r="K35" s="14" t="s">
        <v>163</v>
      </c>
      <c r="L35" s="14" t="s">
        <v>164</v>
      </c>
    </row>
    <row r="36" customFormat="false" ht="23.85" hidden="false" customHeight="false" outlineLevel="0" collapsed="false">
      <c r="A36" s="13" t="s">
        <v>165</v>
      </c>
      <c r="B36" s="14" t="s">
        <v>139</v>
      </c>
      <c r="C36" s="13" t="s">
        <v>166</v>
      </c>
      <c r="D36" s="15" t="s">
        <v>18</v>
      </c>
      <c r="E36" s="14" t="s">
        <v>167</v>
      </c>
      <c r="F36" s="15" t="s">
        <v>30</v>
      </c>
      <c r="G36" s="14" t="s">
        <v>31</v>
      </c>
      <c r="H36" s="16"/>
      <c r="I36" s="17"/>
      <c r="J36" s="18" t="n">
        <f aca="false">OR(D36="Sí",D36="Parcial",D36="Implícito")*1+OR(F36="Sí",F36="Parcial",F36="Implícito")*1+OR(H36="Sí",H36="Parcial",H36="Implícito")*1</f>
        <v>1</v>
      </c>
      <c r="K36" s="14"/>
      <c r="L36" s="14" t="s">
        <v>33</v>
      </c>
    </row>
    <row r="37" customFormat="false" ht="23.85" hidden="false" customHeight="false" outlineLevel="0" collapsed="false">
      <c r="A37" s="13" t="s">
        <v>168</v>
      </c>
      <c r="B37" s="14" t="s">
        <v>139</v>
      </c>
      <c r="C37" s="13" t="s">
        <v>169</v>
      </c>
      <c r="D37" s="15" t="s">
        <v>18</v>
      </c>
      <c r="E37" s="14" t="s">
        <v>170</v>
      </c>
      <c r="F37" s="15" t="s">
        <v>18</v>
      </c>
      <c r="G37" s="14" t="s">
        <v>171</v>
      </c>
      <c r="H37" s="16"/>
      <c r="I37" s="17"/>
      <c r="J37" s="18" t="n">
        <f aca="false">OR(D37="Sí",D37="Parcial",D37="Implícito")*1+OR(F37="Sí",F37="Parcial",F37="Implícito")*1+OR(H37="Sí",H37="Parcial",H37="Implícito")*1</f>
        <v>2</v>
      </c>
      <c r="K37" s="14"/>
      <c r="L37" s="14" t="s">
        <v>172</v>
      </c>
    </row>
    <row r="38" customFormat="false" ht="23.85" hidden="false" customHeight="false" outlineLevel="0" collapsed="false">
      <c r="A38" s="13" t="s">
        <v>173</v>
      </c>
      <c r="B38" s="14" t="s">
        <v>139</v>
      </c>
      <c r="C38" s="13" t="s">
        <v>174</v>
      </c>
      <c r="D38" s="15" t="s">
        <v>18</v>
      </c>
      <c r="E38" s="14" t="s">
        <v>175</v>
      </c>
      <c r="F38" s="15" t="s">
        <v>30</v>
      </c>
      <c r="G38" s="14" t="s">
        <v>31</v>
      </c>
      <c r="H38" s="16"/>
      <c r="I38" s="17"/>
      <c r="J38" s="18" t="n">
        <f aca="false">OR(D38="Sí",D38="Parcial",D38="Implícito")*1+OR(F38="Sí",F38="Parcial",F38="Implícito")*1+OR(H38="Sí",H38="Parcial",H38="Implícito")*1</f>
        <v>1</v>
      </c>
      <c r="K38" s="14"/>
      <c r="L38" s="14" t="s">
        <v>33</v>
      </c>
    </row>
    <row r="39" customFormat="false" ht="15" hidden="false" customHeight="false" outlineLevel="0" collapsed="false">
      <c r="A39" s="13" t="s">
        <v>176</v>
      </c>
      <c r="B39" s="14" t="s">
        <v>139</v>
      </c>
      <c r="C39" s="13" t="s">
        <v>177</v>
      </c>
      <c r="D39" s="15" t="s">
        <v>18</v>
      </c>
      <c r="E39" s="14" t="s">
        <v>178</v>
      </c>
      <c r="F39" s="15" t="s">
        <v>18</v>
      </c>
      <c r="G39" s="14" t="s">
        <v>179</v>
      </c>
      <c r="H39" s="16"/>
      <c r="I39" s="17"/>
      <c r="J39" s="18" t="n">
        <f aca="false">OR(D39="Sí",D39="Parcial",D39="Implícito")*1+OR(F39="Sí",F39="Parcial",F39="Implícito")*1+OR(H39="Sí",H39="Parcial",H39="Implícito")*1</f>
        <v>2</v>
      </c>
      <c r="K39" s="14"/>
      <c r="L39" s="14" t="s">
        <v>180</v>
      </c>
    </row>
    <row r="40" customFormat="false" ht="15" hidden="false" customHeight="false" outlineLevel="0" collapsed="false">
      <c r="A40" s="13" t="s">
        <v>181</v>
      </c>
      <c r="B40" s="14" t="s">
        <v>139</v>
      </c>
      <c r="C40" s="13" t="s">
        <v>182</v>
      </c>
      <c r="D40" s="15" t="s">
        <v>18</v>
      </c>
      <c r="E40" s="14" t="s">
        <v>183</v>
      </c>
      <c r="F40" s="15" t="s">
        <v>30</v>
      </c>
      <c r="G40" s="14" t="s">
        <v>31</v>
      </c>
      <c r="H40" s="16"/>
      <c r="I40" s="17"/>
      <c r="J40" s="18" t="n">
        <f aca="false">OR(D40="Sí",D40="Parcial",D40="Implícito")*1+OR(F40="Sí",F40="Parcial",F40="Implícito")*1+OR(H40="Sí",H40="Parcial",H40="Implícito")*1</f>
        <v>1</v>
      </c>
      <c r="K40" s="14"/>
      <c r="L40" s="14" t="s">
        <v>33</v>
      </c>
    </row>
    <row r="41" customFormat="false" ht="15" hidden="false" customHeight="false" outlineLevel="0" collapsed="false">
      <c r="A41" s="13" t="s">
        <v>184</v>
      </c>
      <c r="B41" s="14" t="s">
        <v>139</v>
      </c>
      <c r="C41" s="13" t="s">
        <v>185</v>
      </c>
      <c r="D41" s="15" t="s">
        <v>18</v>
      </c>
      <c r="E41" s="14" t="s">
        <v>186</v>
      </c>
      <c r="F41" s="15" t="s">
        <v>18</v>
      </c>
      <c r="G41" s="14" t="s">
        <v>187</v>
      </c>
      <c r="H41" s="16"/>
      <c r="I41" s="17"/>
      <c r="J41" s="18" t="n">
        <f aca="false">OR(D41="Sí",D41="Parcial",D41="Implícito")*1+OR(F41="Sí",F41="Parcial",F41="Implícito")*1+OR(H41="Sí",H41="Parcial",H41="Implícito")*1</f>
        <v>2</v>
      </c>
      <c r="K41" s="14"/>
      <c r="L41" s="14" t="s">
        <v>154</v>
      </c>
    </row>
    <row r="42" customFormat="false" ht="15" hidden="false" customHeight="false" outlineLevel="0" collapsed="false">
      <c r="A42" s="13" t="s">
        <v>188</v>
      </c>
      <c r="B42" s="14" t="s">
        <v>139</v>
      </c>
      <c r="C42" s="13" t="s">
        <v>189</v>
      </c>
      <c r="D42" s="15" t="s">
        <v>18</v>
      </c>
      <c r="E42" s="14" t="s">
        <v>190</v>
      </c>
      <c r="F42" s="15" t="s">
        <v>18</v>
      </c>
      <c r="G42" s="14" t="s">
        <v>191</v>
      </c>
      <c r="H42" s="16"/>
      <c r="I42" s="17"/>
      <c r="J42" s="18" t="n">
        <f aca="false">OR(D42="Sí",D42="Parcial",D42="Implícito")*1+OR(F42="Sí",F42="Parcial",F42="Implícito")*1+OR(H42="Sí",H42="Parcial",H42="Implícito")*1</f>
        <v>2</v>
      </c>
      <c r="K42" s="14"/>
      <c r="L42" s="14" t="s">
        <v>154</v>
      </c>
    </row>
    <row r="43" customFormat="false" ht="15" hidden="false" customHeight="false" outlineLevel="0" collapsed="false">
      <c r="A43" s="13" t="s">
        <v>192</v>
      </c>
      <c r="B43" s="14" t="s">
        <v>139</v>
      </c>
      <c r="C43" s="13" t="s">
        <v>193</v>
      </c>
      <c r="D43" s="15" t="s">
        <v>30</v>
      </c>
      <c r="E43" s="14" t="s">
        <v>31</v>
      </c>
      <c r="F43" s="15" t="s">
        <v>18</v>
      </c>
      <c r="G43" s="14" t="s">
        <v>194</v>
      </c>
      <c r="H43" s="16"/>
      <c r="I43" s="17"/>
      <c r="J43" s="18" t="n">
        <f aca="false">OR(D43="Sí",D43="Parcial",D43="Implícito")*1+OR(F43="Sí",F43="Parcial",F43="Implícito")*1+OR(H43="Sí",H43="Parcial",H43="Implícito")*1</f>
        <v>1</v>
      </c>
      <c r="K43" s="14" t="s">
        <v>195</v>
      </c>
      <c r="L43" s="14" t="s">
        <v>196</v>
      </c>
    </row>
    <row r="44" customFormat="false" ht="23.85" hidden="false" customHeight="false" outlineLevel="0" collapsed="false">
      <c r="A44" s="19" t="s">
        <v>197</v>
      </c>
      <c r="B44" s="20" t="s">
        <v>198</v>
      </c>
      <c r="C44" s="19" t="s">
        <v>199</v>
      </c>
      <c r="D44" s="21" t="s">
        <v>18</v>
      </c>
      <c r="E44" s="20" t="s">
        <v>200</v>
      </c>
      <c r="F44" s="21" t="s">
        <v>201</v>
      </c>
      <c r="G44" s="20" t="s">
        <v>202</v>
      </c>
      <c r="H44" s="22"/>
      <c r="I44" s="23"/>
      <c r="J44" s="24" t="n">
        <f aca="false">OR(D44="Sí",D44="Parcial",D44="Implícito")*1+OR(F44="Sí",F44="Parcial",F44="Implícito")*1+OR(H44="Sí",H44="Parcial",H44="Implícito")*1</f>
        <v>2</v>
      </c>
      <c r="K44" s="20" t="s">
        <v>122</v>
      </c>
      <c r="L44" s="20" t="s">
        <v>203</v>
      </c>
    </row>
    <row r="45" customFormat="false" ht="35.05" hidden="false" customHeight="false" outlineLevel="0" collapsed="false">
      <c r="A45" s="13" t="s">
        <v>204</v>
      </c>
      <c r="B45" s="14" t="s">
        <v>198</v>
      </c>
      <c r="C45" s="13" t="s">
        <v>205</v>
      </c>
      <c r="D45" s="15" t="s">
        <v>18</v>
      </c>
      <c r="E45" s="14" t="s">
        <v>206</v>
      </c>
      <c r="F45" s="15" t="s">
        <v>30</v>
      </c>
      <c r="G45" s="14" t="s">
        <v>31</v>
      </c>
      <c r="H45" s="16"/>
      <c r="I45" s="17"/>
      <c r="J45" s="18" t="n">
        <f aca="false">OR(D45="Sí",D45="Parcial",D45="Implícito")*1+OR(F45="Sí",F45="Parcial",F45="Implícito")*1+OR(H45="Sí",H45="Parcial",H45="Implícito")*1</f>
        <v>1</v>
      </c>
      <c r="K45" s="14"/>
      <c r="L45" s="14" t="s">
        <v>207</v>
      </c>
    </row>
    <row r="46" customFormat="false" ht="35.05" hidden="false" customHeight="false" outlineLevel="0" collapsed="false">
      <c r="A46" s="13" t="s">
        <v>208</v>
      </c>
      <c r="B46" s="14" t="s">
        <v>198</v>
      </c>
      <c r="C46" s="13" t="s">
        <v>209</v>
      </c>
      <c r="D46" s="15" t="s">
        <v>18</v>
      </c>
      <c r="E46" s="14" t="s">
        <v>210</v>
      </c>
      <c r="F46" s="15" t="s">
        <v>30</v>
      </c>
      <c r="G46" s="14" t="s">
        <v>31</v>
      </c>
      <c r="H46" s="16"/>
      <c r="I46" s="17"/>
      <c r="J46" s="18" t="n">
        <f aca="false">OR(D46="Sí",D46="Parcial",D46="Implícito")*1+OR(F46="Sí",F46="Parcial",F46="Implícito")*1+OR(H46="Sí",H46="Parcial",H46="Implícito")*1</f>
        <v>1</v>
      </c>
      <c r="K46" s="14" t="s">
        <v>211</v>
      </c>
      <c r="L46" s="14" t="s">
        <v>212</v>
      </c>
    </row>
    <row r="47" customFormat="false" ht="23.85" hidden="false" customHeight="false" outlineLevel="0" collapsed="false">
      <c r="A47" s="13" t="s">
        <v>213</v>
      </c>
      <c r="B47" s="14" t="s">
        <v>198</v>
      </c>
      <c r="C47" s="13" t="s">
        <v>214</v>
      </c>
      <c r="D47" s="15" t="s">
        <v>18</v>
      </c>
      <c r="E47" s="14" t="s">
        <v>215</v>
      </c>
      <c r="F47" s="15" t="s">
        <v>201</v>
      </c>
      <c r="G47" s="14" t="s">
        <v>216</v>
      </c>
      <c r="H47" s="16"/>
      <c r="I47" s="17"/>
      <c r="J47" s="18" t="n">
        <f aca="false">OR(D47="Sí",D47="Parcial",D47="Implícito")*1+OR(F47="Sí",F47="Parcial",F47="Implícito")*1+OR(H47="Sí",H47="Parcial",H47="Implícito")*1</f>
        <v>2</v>
      </c>
      <c r="K47" s="14"/>
      <c r="L47" s="14" t="s">
        <v>217</v>
      </c>
    </row>
    <row r="48" customFormat="false" ht="23.85" hidden="false" customHeight="false" outlineLevel="0" collapsed="false">
      <c r="A48" s="13" t="s">
        <v>218</v>
      </c>
      <c r="B48" s="14" t="s">
        <v>198</v>
      </c>
      <c r="C48" s="13" t="s">
        <v>219</v>
      </c>
      <c r="D48" s="15" t="s">
        <v>18</v>
      </c>
      <c r="E48" s="14" t="s">
        <v>220</v>
      </c>
      <c r="F48" s="15" t="s">
        <v>30</v>
      </c>
      <c r="G48" s="14" t="s">
        <v>31</v>
      </c>
      <c r="H48" s="16"/>
      <c r="I48" s="17"/>
      <c r="J48" s="18" t="n">
        <f aca="false">OR(D48="Sí",D48="Parcial",D48="Implícito")*1+OR(F48="Sí",F48="Parcial",F48="Implícito")*1+OR(H48="Sí",H48="Parcial",H48="Implícito")*1</f>
        <v>1</v>
      </c>
      <c r="K48" s="14"/>
      <c r="L48" s="14" t="s">
        <v>33</v>
      </c>
    </row>
    <row r="49" customFormat="false" ht="23.85" hidden="false" customHeight="false" outlineLevel="0" collapsed="false">
      <c r="A49" s="13" t="s">
        <v>221</v>
      </c>
      <c r="B49" s="14" t="s">
        <v>198</v>
      </c>
      <c r="C49" s="13" t="s">
        <v>222</v>
      </c>
      <c r="D49" s="15" t="s">
        <v>18</v>
      </c>
      <c r="E49" s="14" t="s">
        <v>223</v>
      </c>
      <c r="F49" s="15" t="s">
        <v>30</v>
      </c>
      <c r="G49" s="14" t="s">
        <v>31</v>
      </c>
      <c r="H49" s="16"/>
      <c r="I49" s="17"/>
      <c r="J49" s="18" t="n">
        <f aca="false">OR(D49="Sí",D49="Parcial",D49="Implícito")*1+OR(F49="Sí",F49="Parcial",F49="Implícito")*1+OR(H49="Sí",H49="Parcial",H49="Implícito")*1</f>
        <v>1</v>
      </c>
      <c r="K49" s="14"/>
      <c r="L49" s="14" t="s">
        <v>33</v>
      </c>
    </row>
    <row r="50" customFormat="false" ht="23.85" hidden="false" customHeight="false" outlineLevel="0" collapsed="false">
      <c r="A50" s="13" t="s">
        <v>224</v>
      </c>
      <c r="B50" s="14" t="s">
        <v>198</v>
      </c>
      <c r="C50" s="13" t="s">
        <v>225</v>
      </c>
      <c r="D50" s="15" t="s">
        <v>18</v>
      </c>
      <c r="E50" s="14" t="s">
        <v>226</v>
      </c>
      <c r="F50" s="15" t="s">
        <v>30</v>
      </c>
      <c r="G50" s="14" t="s">
        <v>31</v>
      </c>
      <c r="H50" s="16"/>
      <c r="I50" s="17"/>
      <c r="J50" s="18" t="n">
        <f aca="false">OR(D50="Sí",D50="Parcial",D50="Implícito")*1+OR(F50="Sí",F50="Parcial",F50="Implícito")*1+OR(H50="Sí",H50="Parcial",H50="Implícito")*1</f>
        <v>1</v>
      </c>
      <c r="K50" s="14"/>
      <c r="L50" s="14" t="s">
        <v>227</v>
      </c>
    </row>
    <row r="51" customFormat="false" ht="23.85" hidden="false" customHeight="false" outlineLevel="0" collapsed="false">
      <c r="A51" s="19" t="s">
        <v>228</v>
      </c>
      <c r="B51" s="20" t="s">
        <v>229</v>
      </c>
      <c r="C51" s="19" t="s">
        <v>230</v>
      </c>
      <c r="D51" s="21" t="s">
        <v>18</v>
      </c>
      <c r="E51" s="20" t="s">
        <v>231</v>
      </c>
      <c r="F51" s="21" t="s">
        <v>77</v>
      </c>
      <c r="G51" s="20" t="s">
        <v>232</v>
      </c>
      <c r="H51" s="22"/>
      <c r="I51" s="23"/>
      <c r="J51" s="24" t="n">
        <f aca="false">OR(D51="Sí",D51="Parcial",D51="Implícito")*1+OR(F51="Sí",F51="Parcial",F51="Implícito")*1+OR(H51="Sí",H51="Parcial",H51="Implícito")*1</f>
        <v>2</v>
      </c>
      <c r="K51" s="20"/>
      <c r="L51" s="20"/>
    </row>
    <row r="52" customFormat="false" ht="23.85" hidden="false" customHeight="false" outlineLevel="0" collapsed="false">
      <c r="A52" s="13" t="s">
        <v>233</v>
      </c>
      <c r="B52" s="14" t="s">
        <v>229</v>
      </c>
      <c r="C52" s="13" t="s">
        <v>234</v>
      </c>
      <c r="D52" s="15" t="s">
        <v>18</v>
      </c>
      <c r="E52" s="14" t="s">
        <v>235</v>
      </c>
      <c r="F52" s="15" t="s">
        <v>201</v>
      </c>
      <c r="G52" s="14" t="s">
        <v>236</v>
      </c>
      <c r="H52" s="16"/>
      <c r="I52" s="17"/>
      <c r="J52" s="18" t="n">
        <f aca="false">OR(D52="Sí",D52="Parcial",D52="Implícito")*1+OR(F52="Sí",F52="Parcial",F52="Implícito")*1+OR(H52="Sí",H52="Parcial",H52="Implícito")*1</f>
        <v>2</v>
      </c>
      <c r="K52" s="14"/>
      <c r="L52" s="14" t="s">
        <v>237</v>
      </c>
    </row>
    <row r="53" customFormat="false" ht="57.45" hidden="false" customHeight="false" outlineLevel="0" collapsed="false">
      <c r="A53" s="13" t="s">
        <v>238</v>
      </c>
      <c r="B53" s="14" t="s">
        <v>229</v>
      </c>
      <c r="C53" s="13" t="s">
        <v>239</v>
      </c>
      <c r="D53" s="15" t="s">
        <v>18</v>
      </c>
      <c r="E53" s="14" t="s">
        <v>240</v>
      </c>
      <c r="F53" s="15" t="s">
        <v>30</v>
      </c>
      <c r="G53" s="14" t="s">
        <v>31</v>
      </c>
      <c r="H53" s="16"/>
      <c r="I53" s="17"/>
      <c r="J53" s="18" t="n">
        <f aca="false">OR(D53="Sí",D53="Parcial",D53="Implícito")*1+OR(F53="Sí",F53="Parcial",F53="Implícito")*1+OR(H53="Sí",H53="Parcial",H53="Implícito")*1</f>
        <v>1</v>
      </c>
      <c r="K53" s="14"/>
      <c r="L53" s="14" t="s">
        <v>241</v>
      </c>
    </row>
    <row r="54" customFormat="false" ht="23.85" hidden="false" customHeight="false" outlineLevel="0" collapsed="false">
      <c r="A54" s="13" t="s">
        <v>242</v>
      </c>
      <c r="B54" s="14" t="s">
        <v>229</v>
      </c>
      <c r="C54" s="13" t="s">
        <v>243</v>
      </c>
      <c r="D54" s="15" t="s">
        <v>18</v>
      </c>
      <c r="E54" s="14" t="s">
        <v>244</v>
      </c>
      <c r="F54" s="15" t="s">
        <v>30</v>
      </c>
      <c r="G54" s="14" t="s">
        <v>31</v>
      </c>
      <c r="H54" s="16"/>
      <c r="I54" s="17"/>
      <c r="J54" s="18" t="n">
        <f aca="false">OR(D54="Sí",D54="Parcial",D54="Implícito")*1+OR(F54="Sí",F54="Parcial",F54="Implícito")*1+OR(H54="Sí",H54="Parcial",H54="Implícito")*1</f>
        <v>1</v>
      </c>
      <c r="K54" s="14"/>
      <c r="L54" s="14" t="s">
        <v>33</v>
      </c>
    </row>
    <row r="55" customFormat="false" ht="23.85" hidden="false" customHeight="false" outlineLevel="0" collapsed="false">
      <c r="A55" s="13" t="s">
        <v>245</v>
      </c>
      <c r="B55" s="14" t="s">
        <v>229</v>
      </c>
      <c r="C55" s="13" t="s">
        <v>246</v>
      </c>
      <c r="D55" s="15" t="s">
        <v>18</v>
      </c>
      <c r="E55" s="14" t="s">
        <v>247</v>
      </c>
      <c r="F55" s="15" t="s">
        <v>30</v>
      </c>
      <c r="G55" s="14" t="s">
        <v>31</v>
      </c>
      <c r="H55" s="16"/>
      <c r="I55" s="17"/>
      <c r="J55" s="18" t="n">
        <f aca="false">OR(D55="Sí",D55="Parcial",D55="Implícito")*1+OR(F55="Sí",F55="Parcial",F55="Implícito")*1+OR(H55="Sí",H55="Parcial",H55="Implícito")*1</f>
        <v>1</v>
      </c>
      <c r="K55" s="14"/>
      <c r="L55" s="14" t="s">
        <v>248</v>
      </c>
    </row>
    <row r="56" customFormat="false" ht="15" hidden="false" customHeight="false" outlineLevel="0" collapsed="false">
      <c r="A56" s="25"/>
      <c r="B56" s="25"/>
      <c r="C56" s="25"/>
      <c r="D56" s="26"/>
      <c r="E56" s="25"/>
      <c r="F56" s="26"/>
      <c r="G56" s="25"/>
      <c r="H56" s="27"/>
      <c r="I56" s="28"/>
      <c r="J56" s="29" t="n">
        <f aca="false">OR(D56="Sí",D56="Parcial",D56="Implícito")*1+OR(F56="Sí",F56="Parcial",F56="Implícito")*1+OR(H56="Sí",H56="Parcial",H56="Implícito")*1</f>
        <v>0</v>
      </c>
      <c r="K56" s="25"/>
      <c r="L56" s="25"/>
    </row>
    <row r="57" customFormat="false" ht="15" hidden="false" customHeight="false" outlineLevel="0" collapsed="false">
      <c r="A57" s="25"/>
      <c r="B57" s="25"/>
      <c r="C57" s="25"/>
      <c r="D57" s="26"/>
      <c r="E57" s="25"/>
      <c r="F57" s="26"/>
      <c r="G57" s="25"/>
      <c r="H57" s="27"/>
      <c r="I57" s="28"/>
      <c r="J57" s="29" t="n">
        <f aca="false">OR(D57="Sí",D57="Parcial",D57="Implícito")*1+OR(F57="Sí",F57="Parcial",F57="Implícito")*1+OR(H57="Sí",H57="Parcial",H57="Implícito")*1</f>
        <v>0</v>
      </c>
      <c r="K57" s="25"/>
      <c r="L57" s="25"/>
    </row>
    <row r="58" customFormat="false" ht="15" hidden="false" customHeight="false" outlineLevel="0" collapsed="false">
      <c r="A58" s="25"/>
      <c r="B58" s="25"/>
      <c r="C58" s="25"/>
      <c r="D58" s="26"/>
      <c r="E58" s="25"/>
      <c r="F58" s="26"/>
      <c r="G58" s="25"/>
      <c r="H58" s="27"/>
      <c r="I58" s="28"/>
      <c r="J58" s="29" t="n">
        <f aca="false">OR(D58="Sí",D58="Parcial",D58="Implícito")*1+OR(F58="Sí",F58="Parcial",F58="Implícito")*1+OR(H58="Sí",H58="Parcial",H58="Implícito")*1</f>
        <v>0</v>
      </c>
      <c r="K58" s="25"/>
      <c r="L58" s="25"/>
    </row>
    <row r="59" customFormat="false" ht="15" hidden="false" customHeight="false" outlineLevel="0" collapsed="false">
      <c r="A59" s="25"/>
      <c r="B59" s="25"/>
      <c r="C59" s="25"/>
      <c r="D59" s="26"/>
      <c r="E59" s="25"/>
      <c r="F59" s="26"/>
      <c r="G59" s="25"/>
      <c r="H59" s="27"/>
      <c r="I59" s="28"/>
      <c r="J59" s="29" t="n">
        <f aca="false">OR(D59="Sí",D59="Parcial",D59="Implícito")*1+OR(F59="Sí",F59="Parcial",F59="Implícito")*1+OR(H59="Sí",H59="Parcial",H59="Implícito")*1</f>
        <v>0</v>
      </c>
      <c r="K59" s="25"/>
      <c r="L59" s="25"/>
    </row>
    <row r="60" customFormat="false" ht="15" hidden="false" customHeight="false" outlineLevel="0" collapsed="false">
      <c r="A60" s="25"/>
      <c r="B60" s="25"/>
      <c r="C60" s="25"/>
      <c r="D60" s="26"/>
      <c r="E60" s="25"/>
      <c r="F60" s="26"/>
      <c r="G60" s="25"/>
      <c r="H60" s="27"/>
      <c r="I60" s="28"/>
      <c r="J60" s="29" t="n">
        <f aca="false">OR(D60="Sí",D60="Parcial",D60="Implícito")*1+OR(F60="Sí",F60="Parcial",F60="Implícito")*1+OR(H60="Sí",H60="Parcial",H60="Implícito")*1</f>
        <v>0</v>
      </c>
      <c r="K60" s="25"/>
      <c r="L60" s="25"/>
    </row>
    <row r="61" customFormat="false" ht="15" hidden="false" customHeight="false" outlineLevel="0" collapsed="false">
      <c r="A61" s="25"/>
      <c r="B61" s="25"/>
      <c r="C61" s="25"/>
      <c r="D61" s="26"/>
      <c r="E61" s="25"/>
      <c r="F61" s="26"/>
      <c r="G61" s="25"/>
      <c r="H61" s="27"/>
      <c r="I61" s="28"/>
      <c r="J61" s="29" t="n">
        <f aca="false">OR(D61="Sí",D61="Parcial",D61="Implícito")*1+OR(F61="Sí",F61="Parcial",F61="Implícito")*1+OR(H61="Sí",H61="Parcial",H61="Implícito")*1</f>
        <v>0</v>
      </c>
      <c r="K61" s="25"/>
      <c r="L61" s="25"/>
    </row>
    <row r="62" customFormat="false" ht="15" hidden="false" customHeight="false" outlineLevel="0" collapsed="false">
      <c r="A62" s="25"/>
      <c r="B62" s="25"/>
      <c r="C62" s="25"/>
      <c r="D62" s="26"/>
      <c r="E62" s="25"/>
      <c r="F62" s="26"/>
      <c r="G62" s="25"/>
      <c r="H62" s="27"/>
      <c r="I62" s="28"/>
      <c r="J62" s="29" t="n">
        <f aca="false">OR(D62="Sí",D62="Parcial",D62="Implícito")*1+OR(F62="Sí",F62="Parcial",F62="Implícito")*1+OR(H62="Sí",H62="Parcial",H62="Implícito")*1</f>
        <v>0</v>
      </c>
      <c r="K62" s="25"/>
      <c r="L62" s="25"/>
    </row>
    <row r="63" customFormat="false" ht="15" hidden="false" customHeight="false" outlineLevel="0" collapsed="false">
      <c r="A63" s="25"/>
      <c r="B63" s="25"/>
      <c r="C63" s="25"/>
      <c r="D63" s="26"/>
      <c r="E63" s="25"/>
      <c r="F63" s="26"/>
      <c r="G63" s="25"/>
      <c r="H63" s="27"/>
      <c r="I63" s="28"/>
      <c r="J63" s="29" t="n">
        <f aca="false">OR(D63="Sí",D63="Parcial",D63="Implícito")*1+OR(F63="Sí",F63="Parcial",F63="Implícito")*1+OR(H63="Sí",H63="Parcial",H63="Implícito")*1</f>
        <v>0</v>
      </c>
      <c r="K63" s="25"/>
      <c r="L63" s="25"/>
    </row>
    <row r="64" customFormat="false" ht="15" hidden="false" customHeight="false" outlineLevel="0" collapsed="false">
      <c r="A64" s="25"/>
      <c r="B64" s="25"/>
      <c r="C64" s="25"/>
      <c r="D64" s="26"/>
      <c r="E64" s="25"/>
      <c r="F64" s="26"/>
      <c r="G64" s="25"/>
      <c r="H64" s="27"/>
      <c r="I64" s="28"/>
      <c r="J64" s="29" t="n">
        <f aca="false">OR(D64="Sí",D64="Parcial",D64="Implícito")*1+OR(F64="Sí",F64="Parcial",F64="Implícito")*1+OR(H64="Sí",H64="Parcial",H64="Implícito")*1</f>
        <v>0</v>
      </c>
      <c r="K64" s="25"/>
      <c r="L64" s="25"/>
    </row>
    <row r="65" customFormat="false" ht="15" hidden="false" customHeight="false" outlineLevel="0" collapsed="false">
      <c r="A65" s="25"/>
      <c r="B65" s="25"/>
      <c r="C65" s="25"/>
      <c r="D65" s="26"/>
      <c r="E65" s="25"/>
      <c r="F65" s="26"/>
      <c r="G65" s="25"/>
      <c r="H65" s="27"/>
      <c r="I65" s="28"/>
      <c r="J65" s="29" t="n">
        <f aca="false">OR(D65="Sí",D65="Parcial",D65="Implícito")*1+OR(F65="Sí",F65="Parcial",F65="Implícito")*1+OR(H65="Sí",H65="Parcial",H65="Implícito")*1</f>
        <v>0</v>
      </c>
      <c r="K65" s="25"/>
      <c r="L65" s="25"/>
    </row>
    <row r="66" customFormat="false" ht="15" hidden="false" customHeight="false" outlineLevel="0" collapsed="false">
      <c r="A66" s="25"/>
      <c r="B66" s="25"/>
      <c r="C66" s="25"/>
      <c r="D66" s="26"/>
      <c r="E66" s="25"/>
      <c r="F66" s="26"/>
      <c r="G66" s="25"/>
      <c r="H66" s="27"/>
      <c r="I66" s="28"/>
      <c r="J66" s="29" t="n">
        <f aca="false">OR(D66="Sí",D66="Parcial",D66="Implícito")*1+OR(F66="Sí",F66="Parcial",F66="Implícito")*1+OR(H66="Sí",H66="Parcial",H66="Implícito")*1</f>
        <v>0</v>
      </c>
      <c r="K66" s="25"/>
      <c r="L66" s="25"/>
    </row>
    <row r="67" customFormat="false" ht="15" hidden="false" customHeight="false" outlineLevel="0" collapsed="false">
      <c r="A67" s="25"/>
      <c r="B67" s="25"/>
      <c r="C67" s="25"/>
      <c r="D67" s="26"/>
      <c r="E67" s="25"/>
      <c r="F67" s="26"/>
      <c r="G67" s="25"/>
      <c r="H67" s="27"/>
      <c r="I67" s="28"/>
      <c r="J67" s="29" t="n">
        <f aca="false">OR(D67="Sí",D67="Parcial",D67="Implícito")*1+OR(F67="Sí",F67="Parcial",F67="Implícito")*1+OR(H67="Sí",H67="Parcial",H67="Implícito")*1</f>
        <v>0</v>
      </c>
      <c r="K67" s="25"/>
      <c r="L67" s="25"/>
    </row>
    <row r="68" customFormat="false" ht="15" hidden="false" customHeight="false" outlineLevel="0" collapsed="false">
      <c r="A68" s="25"/>
      <c r="B68" s="25"/>
      <c r="C68" s="25"/>
      <c r="D68" s="26"/>
      <c r="E68" s="25"/>
      <c r="F68" s="26"/>
      <c r="G68" s="25"/>
      <c r="H68" s="27"/>
      <c r="I68" s="28"/>
      <c r="J68" s="29" t="n">
        <f aca="false">OR(D68="Sí",D68="Parcial",D68="Implícito")*1+OR(F68="Sí",F68="Parcial",F68="Implícito")*1+OR(H68="Sí",H68="Parcial",H68="Implícito")*1</f>
        <v>0</v>
      </c>
      <c r="K68" s="25"/>
      <c r="L68" s="25"/>
    </row>
    <row r="69" customFormat="false" ht="15" hidden="false" customHeight="false" outlineLevel="0" collapsed="false">
      <c r="A69" s="25"/>
      <c r="B69" s="25"/>
      <c r="C69" s="25"/>
      <c r="D69" s="26"/>
      <c r="E69" s="25"/>
      <c r="F69" s="26"/>
      <c r="G69" s="25"/>
      <c r="H69" s="27"/>
      <c r="I69" s="28"/>
      <c r="J69" s="29" t="n">
        <f aca="false">OR(D69="Sí",D69="Parcial",D69="Implícito")*1+OR(F69="Sí",F69="Parcial",F69="Implícito")*1+OR(H69="Sí",H69="Parcial",H69="Implícito")*1</f>
        <v>0</v>
      </c>
      <c r="K69" s="25"/>
      <c r="L69" s="25"/>
    </row>
    <row r="70" customFormat="false" ht="15" hidden="false" customHeight="false" outlineLevel="0" collapsed="false">
      <c r="A70" s="25"/>
      <c r="B70" s="25"/>
      <c r="C70" s="25"/>
      <c r="D70" s="26"/>
      <c r="E70" s="25"/>
      <c r="F70" s="26"/>
      <c r="G70" s="25"/>
      <c r="H70" s="27"/>
      <c r="I70" s="28"/>
      <c r="J70" s="29" t="n">
        <f aca="false">OR(D70="Sí",D70="Parcial",D70="Implícito")*1+OR(F70="Sí",F70="Parcial",F70="Implícito")*1+OR(H70="Sí",H70="Parcial",H70="Implícito")*1</f>
        <v>0</v>
      </c>
      <c r="K70" s="25"/>
      <c r="L70" s="25"/>
    </row>
    <row r="71" customFormat="false" ht="15" hidden="false" customHeight="false" outlineLevel="0" collapsed="false">
      <c r="A71" s="25"/>
      <c r="B71" s="25"/>
      <c r="C71" s="25"/>
      <c r="D71" s="26"/>
      <c r="E71" s="25"/>
      <c r="F71" s="26"/>
      <c r="G71" s="25"/>
      <c r="H71" s="27"/>
      <c r="I71" s="28"/>
      <c r="J71" s="29" t="n">
        <f aca="false">OR(D71="Sí",D71="Parcial",D71="Implícito")*1+OR(F71="Sí",F71="Parcial",F71="Implícito")*1+OR(H71="Sí",H71="Parcial",H71="Implícito")*1</f>
        <v>0</v>
      </c>
      <c r="K71" s="25"/>
      <c r="L71" s="25"/>
    </row>
    <row r="72" customFormat="false" ht="15" hidden="false" customHeight="false" outlineLevel="0" collapsed="false">
      <c r="A72" s="25"/>
      <c r="B72" s="25"/>
      <c r="C72" s="25"/>
      <c r="D72" s="26"/>
      <c r="E72" s="25"/>
      <c r="F72" s="26"/>
      <c r="G72" s="25"/>
      <c r="H72" s="27"/>
      <c r="I72" s="28"/>
      <c r="J72" s="29" t="n">
        <f aca="false">OR(D72="Sí",D72="Parcial",D72="Implícito")*1+OR(F72="Sí",F72="Parcial",F72="Implícito")*1+OR(H72="Sí",H72="Parcial",H72="Implícito")*1</f>
        <v>0</v>
      </c>
      <c r="K72" s="25"/>
      <c r="L72" s="25"/>
    </row>
    <row r="73" customFormat="false" ht="15" hidden="false" customHeight="false" outlineLevel="0" collapsed="false">
      <c r="A73" s="25"/>
      <c r="B73" s="25"/>
      <c r="C73" s="25"/>
      <c r="D73" s="26"/>
      <c r="E73" s="25"/>
      <c r="F73" s="26"/>
      <c r="G73" s="25"/>
      <c r="H73" s="27"/>
      <c r="I73" s="28"/>
      <c r="J73" s="29" t="n">
        <f aca="false">OR(D73="Sí",D73="Parcial",D73="Implícito")*1+OR(F73="Sí",F73="Parcial",F73="Implícito")*1+OR(H73="Sí",H73="Parcial",H73="Implícito")*1</f>
        <v>0</v>
      </c>
      <c r="K73" s="25"/>
      <c r="L73" s="25"/>
    </row>
    <row r="74" customFormat="false" ht="15" hidden="false" customHeight="false" outlineLevel="0" collapsed="false">
      <c r="A74" s="25"/>
      <c r="B74" s="25"/>
      <c r="C74" s="25"/>
      <c r="D74" s="26"/>
      <c r="E74" s="25"/>
      <c r="F74" s="26"/>
      <c r="G74" s="25"/>
      <c r="H74" s="27"/>
      <c r="I74" s="28"/>
      <c r="J74" s="29" t="n">
        <f aca="false">OR(D74="Sí",D74="Parcial",D74="Implícito")*1+OR(F74="Sí",F74="Parcial",F74="Implícito")*1+OR(H74="Sí",H74="Parcial",H74="Implícito")*1</f>
        <v>0</v>
      </c>
      <c r="K74" s="25"/>
      <c r="L74" s="25"/>
    </row>
    <row r="75" customFormat="false" ht="15" hidden="false" customHeight="false" outlineLevel="0" collapsed="false">
      <c r="A75" s="25"/>
      <c r="B75" s="25"/>
      <c r="C75" s="25"/>
      <c r="D75" s="26"/>
      <c r="E75" s="25"/>
      <c r="F75" s="26"/>
      <c r="G75" s="25"/>
      <c r="H75" s="27"/>
      <c r="I75" s="28"/>
      <c r="J75" s="29" t="n">
        <f aca="false">OR(D75="Sí",D75="Parcial",D75="Implícito")*1+OR(F75="Sí",F75="Parcial",F75="Implícito")*1+OR(H75="Sí",H75="Parcial",H75="Implícito")*1</f>
        <v>0</v>
      </c>
      <c r="K75" s="25"/>
      <c r="L75" s="25"/>
    </row>
    <row r="76" customFormat="false" ht="15" hidden="false" customHeight="false" outlineLevel="0" collapsed="false">
      <c r="A76" s="25"/>
      <c r="B76" s="25"/>
      <c r="C76" s="25"/>
      <c r="D76" s="26"/>
      <c r="E76" s="25"/>
      <c r="F76" s="26"/>
      <c r="G76" s="25"/>
      <c r="H76" s="27"/>
      <c r="I76" s="28"/>
      <c r="J76" s="29" t="n">
        <f aca="false">OR(D76="Sí",D76="Parcial",D76="Implícito")*1+OR(F76="Sí",F76="Parcial",F76="Implícito")*1+OR(H76="Sí",H76="Parcial",H76="Implícito")*1</f>
        <v>0</v>
      </c>
      <c r="K76" s="25"/>
      <c r="L76" s="25"/>
    </row>
    <row r="77" customFormat="false" ht="15" hidden="false" customHeight="false" outlineLevel="0" collapsed="false">
      <c r="A77" s="25"/>
      <c r="B77" s="25"/>
      <c r="C77" s="25"/>
      <c r="D77" s="26"/>
      <c r="E77" s="25"/>
      <c r="F77" s="26"/>
      <c r="G77" s="25"/>
      <c r="H77" s="27"/>
      <c r="I77" s="28"/>
      <c r="J77" s="29" t="n">
        <f aca="false">OR(D77="Sí",D77="Parcial",D77="Implícito")*1+OR(F77="Sí",F77="Parcial",F77="Implícito")*1+OR(H77="Sí",H77="Parcial",H77="Implícito")*1</f>
        <v>0</v>
      </c>
      <c r="K77" s="25"/>
      <c r="L77" s="25"/>
    </row>
    <row r="78" customFormat="false" ht="15" hidden="false" customHeight="false" outlineLevel="0" collapsed="false">
      <c r="A78" s="25"/>
      <c r="B78" s="25"/>
      <c r="C78" s="25"/>
      <c r="D78" s="26"/>
      <c r="E78" s="25"/>
      <c r="F78" s="26"/>
      <c r="G78" s="25"/>
      <c r="H78" s="27"/>
      <c r="I78" s="28"/>
      <c r="J78" s="29" t="n">
        <f aca="false">OR(D78="Sí",D78="Parcial",D78="Implícito")*1+OR(F78="Sí",F78="Parcial",F78="Implícito")*1+OR(H78="Sí",H78="Parcial",H78="Implícito")*1</f>
        <v>0</v>
      </c>
      <c r="K78" s="25"/>
      <c r="L78" s="25"/>
    </row>
    <row r="79" customFormat="false" ht="15" hidden="false" customHeight="false" outlineLevel="0" collapsed="false">
      <c r="A79" s="25"/>
      <c r="B79" s="25"/>
      <c r="C79" s="25"/>
      <c r="D79" s="26"/>
      <c r="E79" s="25"/>
      <c r="F79" s="26"/>
      <c r="G79" s="25"/>
      <c r="H79" s="27"/>
      <c r="I79" s="28"/>
      <c r="J79" s="29" t="n">
        <f aca="false">OR(D79="Sí",D79="Parcial",D79="Implícito")*1+OR(F79="Sí",F79="Parcial",F79="Implícito")*1+OR(H79="Sí",H79="Parcial",H79="Implícito")*1</f>
        <v>0</v>
      </c>
      <c r="K79" s="25"/>
      <c r="L79" s="25"/>
    </row>
    <row r="80" customFormat="false" ht="15" hidden="false" customHeight="false" outlineLevel="0" collapsed="false">
      <c r="A80" s="25"/>
      <c r="B80" s="25"/>
      <c r="C80" s="25"/>
      <c r="D80" s="26"/>
      <c r="E80" s="25"/>
      <c r="F80" s="26"/>
      <c r="G80" s="25"/>
      <c r="H80" s="27"/>
      <c r="I80" s="28"/>
      <c r="J80" s="29" t="n">
        <f aca="false">OR(D80="Sí",D80="Parcial",D80="Implícito")*1+OR(F80="Sí",F80="Parcial",F80="Implícito")*1+OR(H80="Sí",H80="Parcial",H80="Implícito")*1</f>
        <v>0</v>
      </c>
      <c r="K80" s="25"/>
      <c r="L80" s="25"/>
    </row>
    <row r="81" customFormat="false" ht="15" hidden="false" customHeight="false" outlineLevel="0" collapsed="false">
      <c r="A81" s="25"/>
      <c r="B81" s="25"/>
      <c r="C81" s="25"/>
      <c r="D81" s="26"/>
      <c r="E81" s="25"/>
      <c r="F81" s="26"/>
      <c r="G81" s="25"/>
      <c r="H81" s="27"/>
      <c r="I81" s="28"/>
      <c r="J81" s="29" t="n">
        <f aca="false">OR(D81="Sí",D81="Parcial",D81="Implícito")*1+OR(F81="Sí",F81="Parcial",F81="Implícito")*1+OR(H81="Sí",H81="Parcial",H81="Implícito")*1</f>
        <v>0</v>
      </c>
      <c r="K81" s="25"/>
      <c r="L81" s="25"/>
    </row>
    <row r="82" customFormat="false" ht="15" hidden="false" customHeight="false" outlineLevel="0" collapsed="false">
      <c r="A82" s="25"/>
      <c r="B82" s="25"/>
      <c r="C82" s="25"/>
      <c r="D82" s="26"/>
      <c r="E82" s="25"/>
      <c r="F82" s="26"/>
      <c r="G82" s="25"/>
      <c r="H82" s="27"/>
      <c r="I82" s="28"/>
      <c r="J82" s="29" t="n">
        <f aca="false">OR(D82="Sí",D82="Parcial",D82="Implícito")*1+OR(F82="Sí",F82="Parcial",F82="Implícito")*1+OR(H82="Sí",H82="Parcial",H82="Implícito")*1</f>
        <v>0</v>
      </c>
      <c r="K82" s="25"/>
      <c r="L82" s="25"/>
    </row>
    <row r="83" customFormat="false" ht="15" hidden="false" customHeight="false" outlineLevel="0" collapsed="false">
      <c r="A83" s="25"/>
      <c r="B83" s="25"/>
      <c r="C83" s="25"/>
      <c r="D83" s="26"/>
      <c r="E83" s="25"/>
      <c r="F83" s="26"/>
      <c r="G83" s="25"/>
      <c r="H83" s="27"/>
      <c r="I83" s="28"/>
      <c r="J83" s="29" t="n">
        <f aca="false">OR(D83="Sí",D83="Parcial",D83="Implícito")*1+OR(F83="Sí",F83="Parcial",F83="Implícito")*1+OR(H83="Sí",H83="Parcial",H83="Implícito")*1</f>
        <v>0</v>
      </c>
      <c r="K83" s="25"/>
      <c r="L83" s="25"/>
    </row>
    <row r="84" customFormat="false" ht="15" hidden="false" customHeight="false" outlineLevel="0" collapsed="false">
      <c r="A84" s="25"/>
      <c r="B84" s="25"/>
      <c r="C84" s="25"/>
      <c r="D84" s="26"/>
      <c r="E84" s="25"/>
      <c r="F84" s="26"/>
      <c r="G84" s="25"/>
      <c r="H84" s="27"/>
      <c r="I84" s="28"/>
      <c r="J84" s="29" t="n">
        <f aca="false">OR(D84="Sí",D84="Parcial",D84="Implícito")*1+OR(F84="Sí",F84="Parcial",F84="Implícito")*1+OR(H84="Sí",H84="Parcial",H84="Implícito")*1</f>
        <v>0</v>
      </c>
      <c r="K84" s="25"/>
      <c r="L84" s="25"/>
    </row>
    <row r="85" customFormat="false" ht="15" hidden="false" customHeight="false" outlineLevel="0" collapsed="false">
      <c r="A85" s="25"/>
      <c r="B85" s="25"/>
      <c r="C85" s="25"/>
      <c r="D85" s="26"/>
      <c r="E85" s="25"/>
      <c r="F85" s="26"/>
      <c r="G85" s="25"/>
      <c r="H85" s="27"/>
      <c r="I85" s="28"/>
      <c r="J85" s="29" t="n">
        <f aca="false">OR(D85="Sí",D85="Parcial",D85="Implícito")*1+OR(F85="Sí",F85="Parcial",F85="Implícito")*1+OR(H85="Sí",H85="Parcial",H85="Implícito")*1</f>
        <v>0</v>
      </c>
      <c r="K85" s="25"/>
      <c r="L85" s="25"/>
    </row>
    <row r="86" customFormat="false" ht="15" hidden="false" customHeight="false" outlineLevel="0" collapsed="false">
      <c r="A86" s="25"/>
      <c r="B86" s="25"/>
      <c r="C86" s="25"/>
      <c r="D86" s="26"/>
      <c r="E86" s="25"/>
      <c r="F86" s="26"/>
      <c r="G86" s="25"/>
      <c r="H86" s="27"/>
      <c r="I86" s="28"/>
      <c r="J86" s="29" t="n">
        <f aca="false">OR(D86="Sí",D86="Parcial",D86="Implícito")*1+OR(F86="Sí",F86="Parcial",F86="Implícito")*1+OR(H86="Sí",H86="Parcial",H86="Implícito")*1</f>
        <v>0</v>
      </c>
      <c r="K86" s="25"/>
      <c r="L86" s="25"/>
    </row>
    <row r="87" customFormat="false" ht="15" hidden="false" customHeight="false" outlineLevel="0" collapsed="false">
      <c r="A87" s="25"/>
      <c r="B87" s="25"/>
      <c r="C87" s="25"/>
      <c r="D87" s="26"/>
      <c r="E87" s="25"/>
      <c r="F87" s="26"/>
      <c r="G87" s="25"/>
      <c r="H87" s="27"/>
      <c r="I87" s="28"/>
      <c r="J87" s="29" t="n">
        <f aca="false">OR(D87="Sí",D87="Parcial",D87="Implícito")*1+OR(F87="Sí",F87="Parcial",F87="Implícito")*1+OR(H87="Sí",H87="Parcial",H87="Implícito")*1</f>
        <v>0</v>
      </c>
      <c r="K87" s="25"/>
      <c r="L87" s="25"/>
    </row>
    <row r="88" customFormat="false" ht="15" hidden="false" customHeight="false" outlineLevel="0" collapsed="false">
      <c r="A88" s="25"/>
      <c r="B88" s="25"/>
      <c r="C88" s="25"/>
      <c r="D88" s="26"/>
      <c r="E88" s="25"/>
      <c r="F88" s="26"/>
      <c r="G88" s="25"/>
      <c r="H88" s="27"/>
      <c r="I88" s="28"/>
      <c r="J88" s="29" t="n">
        <f aca="false">OR(D88="Sí",D88="Parcial",D88="Implícito")*1+OR(F88="Sí",F88="Parcial",F88="Implícito")*1+OR(H88="Sí",H88="Parcial",H88="Implícito")*1</f>
        <v>0</v>
      </c>
      <c r="K88" s="25"/>
      <c r="L88" s="25"/>
    </row>
    <row r="89" customFormat="false" ht="15" hidden="false" customHeight="false" outlineLevel="0" collapsed="false">
      <c r="A89" s="25"/>
      <c r="B89" s="25"/>
      <c r="C89" s="25"/>
      <c r="D89" s="26"/>
      <c r="E89" s="25"/>
      <c r="F89" s="26"/>
      <c r="G89" s="25"/>
      <c r="H89" s="27"/>
      <c r="I89" s="28"/>
      <c r="J89" s="29" t="n">
        <f aca="false">OR(D89="Sí",D89="Parcial",D89="Implícito")*1+OR(F89="Sí",F89="Parcial",F89="Implícito")*1+OR(H89="Sí",H89="Parcial",H89="Implícito")*1</f>
        <v>0</v>
      </c>
      <c r="K89" s="25"/>
      <c r="L89" s="25"/>
    </row>
    <row r="90" customFormat="false" ht="15" hidden="false" customHeight="false" outlineLevel="0" collapsed="false">
      <c r="A90" s="25"/>
      <c r="B90" s="25"/>
      <c r="C90" s="25"/>
      <c r="D90" s="26"/>
      <c r="E90" s="25"/>
      <c r="F90" s="26"/>
      <c r="G90" s="25"/>
      <c r="H90" s="27"/>
      <c r="I90" s="28"/>
      <c r="J90" s="29" t="n">
        <f aca="false">OR(D90="Sí",D90="Parcial",D90="Implícito")*1+OR(F90="Sí",F90="Parcial",F90="Implícito")*1+OR(H90="Sí",H90="Parcial",H90="Implícito")*1</f>
        <v>0</v>
      </c>
      <c r="K90" s="25"/>
      <c r="L90" s="25"/>
    </row>
    <row r="91" customFormat="false" ht="15" hidden="false" customHeight="false" outlineLevel="0" collapsed="false">
      <c r="A91" s="25"/>
      <c r="B91" s="25"/>
      <c r="C91" s="25"/>
      <c r="D91" s="26"/>
      <c r="E91" s="25"/>
      <c r="F91" s="26"/>
      <c r="G91" s="25"/>
      <c r="H91" s="27"/>
      <c r="I91" s="28"/>
      <c r="J91" s="29" t="n">
        <f aca="false">OR(D91="Sí",D91="Parcial",D91="Implícito")*1+OR(F91="Sí",F91="Parcial",F91="Implícito")*1+OR(H91="Sí",H91="Parcial",H91="Implícito")*1</f>
        <v>0</v>
      </c>
      <c r="K91" s="25"/>
      <c r="L91" s="25"/>
    </row>
    <row r="92" customFormat="false" ht="15" hidden="false" customHeight="false" outlineLevel="0" collapsed="false">
      <c r="A92" s="25"/>
      <c r="B92" s="25"/>
      <c r="C92" s="25"/>
      <c r="D92" s="26"/>
      <c r="E92" s="25"/>
      <c r="F92" s="26"/>
      <c r="G92" s="25"/>
      <c r="H92" s="27"/>
      <c r="I92" s="28"/>
      <c r="J92" s="29" t="n">
        <f aca="false">OR(D92="Sí",D92="Parcial",D92="Implícito")*1+OR(F92="Sí",F92="Parcial",F92="Implícito")*1+OR(H92="Sí",H92="Parcial",H92="Implícito")*1</f>
        <v>0</v>
      </c>
      <c r="K92" s="25"/>
      <c r="L92" s="25"/>
    </row>
    <row r="93" customFormat="false" ht="15" hidden="false" customHeight="false" outlineLevel="0" collapsed="false">
      <c r="A93" s="25"/>
      <c r="B93" s="25"/>
      <c r="C93" s="25"/>
      <c r="D93" s="26"/>
      <c r="E93" s="25"/>
      <c r="F93" s="26"/>
      <c r="G93" s="25"/>
      <c r="H93" s="27"/>
      <c r="I93" s="28"/>
      <c r="J93" s="29" t="n">
        <f aca="false">OR(D93="Sí",D93="Parcial",D93="Implícito")*1+OR(F93="Sí",F93="Parcial",F93="Implícito")*1+OR(H93="Sí",H93="Parcial",H93="Implícito")*1</f>
        <v>0</v>
      </c>
      <c r="K93" s="25"/>
      <c r="L93" s="25"/>
    </row>
    <row r="94" customFormat="false" ht="15" hidden="false" customHeight="false" outlineLevel="0" collapsed="false">
      <c r="A94" s="25"/>
      <c r="B94" s="25"/>
      <c r="C94" s="25"/>
      <c r="D94" s="26"/>
      <c r="E94" s="25"/>
      <c r="F94" s="26"/>
      <c r="G94" s="25"/>
      <c r="H94" s="27"/>
      <c r="I94" s="28"/>
      <c r="J94" s="29" t="n">
        <f aca="false">OR(D94="Sí",D94="Parcial",D94="Implícito")*1+OR(F94="Sí",F94="Parcial",F94="Implícito")*1+OR(H94="Sí",H94="Parcial",H94="Implícito")*1</f>
        <v>0</v>
      </c>
      <c r="K94" s="25"/>
      <c r="L94" s="25"/>
    </row>
    <row r="95" customFormat="false" ht="15" hidden="false" customHeight="false" outlineLevel="0" collapsed="false">
      <c r="A95" s="25"/>
      <c r="B95" s="25"/>
      <c r="C95" s="25"/>
      <c r="D95" s="26"/>
      <c r="E95" s="25"/>
      <c r="F95" s="26"/>
      <c r="G95" s="25"/>
      <c r="H95" s="27"/>
      <c r="I95" s="28"/>
      <c r="J95" s="29" t="n">
        <f aca="false">OR(D95="Sí",D95="Parcial",D95="Implícito")*1+OR(F95="Sí",F95="Parcial",F95="Implícito")*1+OR(H95="Sí",H95="Parcial",H95="Implícito")*1</f>
        <v>0</v>
      </c>
      <c r="K95" s="25"/>
      <c r="L95" s="25"/>
    </row>
    <row r="96" customFormat="false" ht="15" hidden="false" customHeight="false" outlineLevel="0" collapsed="false">
      <c r="A96" s="25"/>
      <c r="B96" s="25"/>
      <c r="C96" s="25"/>
      <c r="D96" s="26"/>
      <c r="E96" s="25"/>
      <c r="F96" s="26"/>
      <c r="G96" s="25"/>
      <c r="H96" s="27"/>
      <c r="I96" s="28"/>
      <c r="J96" s="29" t="n">
        <f aca="false">OR(D96="Sí",D96="Parcial",D96="Implícito")*1+OR(F96="Sí",F96="Parcial",F96="Implícito")*1+OR(H96="Sí",H96="Parcial",H96="Implícito")*1</f>
        <v>0</v>
      </c>
      <c r="K96" s="25"/>
      <c r="L96" s="25"/>
    </row>
    <row r="97" customFormat="false" ht="15" hidden="false" customHeight="false" outlineLevel="0" collapsed="false">
      <c r="A97" s="25"/>
      <c r="B97" s="25"/>
      <c r="C97" s="25"/>
      <c r="D97" s="26"/>
      <c r="E97" s="25"/>
      <c r="F97" s="26"/>
      <c r="G97" s="25"/>
      <c r="H97" s="27"/>
      <c r="I97" s="28"/>
      <c r="J97" s="29" t="n">
        <f aca="false">OR(D97="Sí",D97="Parcial",D97="Implícito")*1+OR(F97="Sí",F97="Parcial",F97="Implícito")*1+OR(H97="Sí",H97="Parcial",H97="Implícito")*1</f>
        <v>0</v>
      </c>
      <c r="K97" s="25"/>
      <c r="L97" s="25"/>
    </row>
    <row r="98" customFormat="false" ht="15" hidden="false" customHeight="false" outlineLevel="0" collapsed="false">
      <c r="A98" s="25"/>
      <c r="B98" s="25"/>
      <c r="C98" s="25"/>
      <c r="D98" s="26"/>
      <c r="E98" s="25"/>
      <c r="F98" s="26"/>
      <c r="G98" s="25"/>
      <c r="H98" s="27"/>
      <c r="I98" s="28"/>
      <c r="J98" s="29" t="n">
        <f aca="false">OR(D98="Sí",D98="Parcial",D98="Implícito")*1+OR(F98="Sí",F98="Parcial",F98="Implícito")*1+OR(H98="Sí",H98="Parcial",H98="Implícito")*1</f>
        <v>0</v>
      </c>
      <c r="K98" s="25"/>
      <c r="L98" s="25"/>
    </row>
    <row r="99" customFormat="false" ht="15" hidden="false" customHeight="false" outlineLevel="0" collapsed="false">
      <c r="A99" s="25"/>
      <c r="B99" s="25"/>
      <c r="C99" s="25"/>
      <c r="D99" s="26"/>
      <c r="E99" s="25"/>
      <c r="F99" s="26"/>
      <c r="G99" s="25"/>
      <c r="H99" s="27"/>
      <c r="I99" s="28"/>
      <c r="J99" s="29" t="n">
        <f aca="false">OR(D99="Sí",D99="Parcial",D99="Implícito")*1+OR(F99="Sí",F99="Parcial",F99="Implícito")*1+OR(H99="Sí",H99="Parcial",H99="Implícito")*1</f>
        <v>0</v>
      </c>
      <c r="K99" s="25"/>
      <c r="L99" s="25"/>
    </row>
    <row r="100" customFormat="false" ht="15" hidden="false" customHeight="false" outlineLevel="0" collapsed="false">
      <c r="A100" s="25"/>
      <c r="B100" s="25"/>
      <c r="C100" s="25"/>
      <c r="D100" s="26"/>
      <c r="E100" s="25"/>
      <c r="F100" s="26"/>
      <c r="G100" s="25"/>
      <c r="H100" s="27"/>
      <c r="I100" s="28"/>
      <c r="J100" s="29" t="n">
        <f aca="false">OR(D100="Sí",D100="Parcial",D100="Implícito")*1+OR(F100="Sí",F100="Parcial",F100="Implícito")*1+OR(H100="Sí",H100="Parcial",H100="Implícito")*1</f>
        <v>0</v>
      </c>
      <c r="K100" s="25"/>
      <c r="L100" s="25"/>
    </row>
    <row r="101" customFormat="false" ht="15" hidden="false" customHeight="false" outlineLevel="0" collapsed="false">
      <c r="A101" s="25"/>
      <c r="B101" s="25"/>
      <c r="C101" s="25"/>
      <c r="D101" s="26"/>
      <c r="E101" s="25"/>
      <c r="F101" s="26"/>
      <c r="G101" s="25"/>
      <c r="H101" s="27"/>
      <c r="I101" s="28"/>
      <c r="J101" s="29" t="n">
        <f aca="false">OR(D101="Sí",D101="Parcial",D101="Implícito")*1+OR(F101="Sí",F101="Parcial",F101="Implícito")*1+OR(H101="Sí",H101="Parcial",H101="Implícito")*1</f>
        <v>0</v>
      </c>
      <c r="K101" s="25"/>
      <c r="L101" s="25"/>
    </row>
    <row r="102" customFormat="false" ht="15" hidden="false" customHeight="false" outlineLevel="0" collapsed="false">
      <c r="A102" s="25"/>
      <c r="B102" s="25"/>
      <c r="C102" s="25"/>
      <c r="D102" s="26"/>
      <c r="E102" s="25"/>
      <c r="F102" s="26"/>
      <c r="G102" s="25"/>
      <c r="H102" s="27"/>
      <c r="I102" s="28"/>
      <c r="J102" s="29" t="n">
        <f aca="false">OR(D102="Sí",D102="Parcial",D102="Implícito")*1+OR(F102="Sí",F102="Parcial",F102="Implícito")*1+OR(H102="Sí",H102="Parcial",H102="Implícito")*1</f>
        <v>0</v>
      </c>
      <c r="K102" s="25"/>
      <c r="L102" s="25"/>
    </row>
    <row r="103" customFormat="false" ht="15" hidden="false" customHeight="false" outlineLevel="0" collapsed="false">
      <c r="A103" s="25"/>
      <c r="B103" s="25"/>
      <c r="C103" s="25"/>
      <c r="D103" s="26"/>
      <c r="E103" s="25"/>
      <c r="F103" s="26"/>
      <c r="G103" s="25"/>
      <c r="H103" s="27"/>
      <c r="I103" s="28"/>
      <c r="J103" s="29" t="n">
        <f aca="false">OR(D103="Sí",D103="Parcial",D103="Implícito")*1+OR(F103="Sí",F103="Parcial",F103="Implícito")*1+OR(H103="Sí",H103="Parcial",H103="Implícito")*1</f>
        <v>0</v>
      </c>
      <c r="K103" s="25"/>
      <c r="L103" s="25"/>
    </row>
    <row r="104" customFormat="false" ht="15" hidden="false" customHeight="false" outlineLevel="0" collapsed="false">
      <c r="A104" s="25"/>
      <c r="B104" s="25"/>
      <c r="C104" s="25"/>
      <c r="D104" s="26"/>
      <c r="E104" s="25"/>
      <c r="F104" s="26"/>
      <c r="G104" s="25"/>
      <c r="H104" s="27"/>
      <c r="I104" s="28"/>
      <c r="J104" s="29" t="n">
        <f aca="false">OR(D104="Sí",D104="Parcial",D104="Implícito")*1+OR(F104="Sí",F104="Parcial",F104="Implícito")*1+OR(H104="Sí",H104="Parcial",H104="Implícito")*1</f>
        <v>0</v>
      </c>
      <c r="K104" s="25"/>
      <c r="L104" s="25"/>
    </row>
    <row r="105" customFormat="false" ht="15" hidden="false" customHeight="false" outlineLevel="0" collapsed="false">
      <c r="A105" s="25"/>
      <c r="B105" s="25"/>
      <c r="C105" s="25"/>
      <c r="D105" s="26"/>
      <c r="E105" s="25"/>
      <c r="F105" s="26"/>
      <c r="G105" s="25"/>
      <c r="H105" s="27"/>
      <c r="I105" s="28"/>
      <c r="J105" s="29" t="n">
        <f aca="false">OR(D105="Sí",D105="Parcial",D105="Implícito")*1+OR(F105="Sí",F105="Parcial",F105="Implícito")*1+OR(H105="Sí",H105="Parcial",H105="Implícito")*1</f>
        <v>0</v>
      </c>
      <c r="K105" s="25"/>
      <c r="L105" s="25"/>
    </row>
    <row r="106" customFormat="false" ht="15" hidden="false" customHeight="false" outlineLevel="0" collapsed="false">
      <c r="A106" s="25"/>
      <c r="B106" s="25"/>
      <c r="C106" s="25"/>
      <c r="D106" s="26"/>
      <c r="E106" s="25"/>
      <c r="F106" s="26"/>
      <c r="G106" s="25"/>
      <c r="H106" s="27"/>
      <c r="I106" s="28"/>
      <c r="J106" s="29" t="n">
        <f aca="false">OR(D106="Sí",D106="Parcial",D106="Implícito")*1+OR(F106="Sí",F106="Parcial",F106="Implícito")*1+OR(H106="Sí",H106="Parcial",H106="Implícito")*1</f>
        <v>0</v>
      </c>
      <c r="K106" s="25"/>
      <c r="L106" s="25"/>
    </row>
    <row r="107" customFormat="false" ht="15" hidden="false" customHeight="false" outlineLevel="0" collapsed="false">
      <c r="A107" s="25"/>
      <c r="B107" s="25"/>
      <c r="C107" s="25"/>
      <c r="D107" s="26"/>
      <c r="E107" s="25"/>
      <c r="F107" s="26"/>
      <c r="G107" s="25"/>
      <c r="H107" s="27"/>
      <c r="I107" s="28"/>
      <c r="J107" s="29" t="n">
        <f aca="false">OR(D107="Sí",D107="Parcial",D107="Implícito")*1+OR(F107="Sí",F107="Parcial",F107="Implícito")*1+OR(H107="Sí",H107="Parcial",H107="Implícito")*1</f>
        <v>0</v>
      </c>
      <c r="K107" s="25"/>
      <c r="L107" s="25"/>
    </row>
    <row r="108" customFormat="false" ht="15" hidden="false" customHeight="false" outlineLevel="0" collapsed="false">
      <c r="A108" s="25"/>
      <c r="B108" s="25"/>
      <c r="C108" s="25"/>
      <c r="D108" s="26"/>
      <c r="E108" s="25"/>
      <c r="F108" s="26"/>
      <c r="G108" s="25"/>
      <c r="H108" s="27"/>
      <c r="I108" s="28"/>
      <c r="J108" s="29" t="n">
        <f aca="false">OR(D108="Sí",D108="Parcial",D108="Implícito")*1+OR(F108="Sí",F108="Parcial",F108="Implícito")*1+OR(H108="Sí",H108="Parcial",H108="Implícito")*1</f>
        <v>0</v>
      </c>
      <c r="K108" s="25"/>
      <c r="L108" s="25"/>
    </row>
    <row r="109" customFormat="false" ht="15" hidden="false" customHeight="false" outlineLevel="0" collapsed="false">
      <c r="A109" s="25"/>
      <c r="B109" s="25"/>
      <c r="C109" s="25"/>
      <c r="D109" s="26"/>
      <c r="E109" s="25"/>
      <c r="F109" s="26"/>
      <c r="G109" s="25"/>
      <c r="H109" s="27"/>
      <c r="I109" s="28"/>
      <c r="J109" s="29" t="n">
        <f aca="false">OR(D109="Sí",D109="Parcial",D109="Implícito")*1+OR(F109="Sí",F109="Parcial",F109="Implícito")*1+OR(H109="Sí",H109="Parcial",H109="Implícito")*1</f>
        <v>0</v>
      </c>
      <c r="K109" s="25"/>
      <c r="L109" s="25"/>
    </row>
    <row r="110" customFormat="false" ht="15" hidden="false" customHeight="false" outlineLevel="0" collapsed="false">
      <c r="A110" s="25"/>
      <c r="B110" s="25"/>
      <c r="C110" s="25"/>
      <c r="D110" s="26"/>
      <c r="E110" s="25"/>
      <c r="F110" s="26"/>
      <c r="G110" s="25"/>
      <c r="H110" s="27"/>
      <c r="I110" s="28"/>
      <c r="J110" s="29" t="n">
        <f aca="false">OR(D110="Sí",D110="Parcial",D110="Implícito")*1+OR(F110="Sí",F110="Parcial",F110="Implícito")*1+OR(H110="Sí",H110="Parcial",H110="Implícito")*1</f>
        <v>0</v>
      </c>
      <c r="K110" s="25"/>
      <c r="L110" s="25"/>
    </row>
    <row r="111" customFormat="false" ht="15" hidden="false" customHeight="false" outlineLevel="0" collapsed="false">
      <c r="A111" s="25"/>
      <c r="B111" s="25"/>
      <c r="C111" s="25"/>
      <c r="D111" s="26"/>
      <c r="E111" s="25"/>
      <c r="F111" s="26"/>
      <c r="G111" s="25"/>
      <c r="H111" s="27"/>
      <c r="I111" s="28"/>
      <c r="J111" s="29" t="n">
        <f aca="false">OR(D111="Sí",D111="Parcial",D111="Implícito")*1+OR(F111="Sí",F111="Parcial",F111="Implícito")*1+OR(H111="Sí",H111="Parcial",H111="Implícito")*1</f>
        <v>0</v>
      </c>
      <c r="K111" s="25"/>
      <c r="L111" s="25"/>
    </row>
    <row r="112" customFormat="false" ht="15" hidden="false" customHeight="false" outlineLevel="0" collapsed="false">
      <c r="A112" s="25"/>
      <c r="B112" s="25"/>
      <c r="C112" s="25"/>
      <c r="D112" s="26"/>
      <c r="E112" s="25"/>
      <c r="F112" s="26"/>
      <c r="G112" s="25"/>
      <c r="H112" s="27"/>
      <c r="I112" s="28"/>
      <c r="J112" s="29" t="n">
        <f aca="false">OR(D112="Sí",D112="Parcial",D112="Implícito")*1+OR(F112="Sí",F112="Parcial",F112="Implícito")*1+OR(H112="Sí",H112="Parcial",H112="Implícito")*1</f>
        <v>0</v>
      </c>
      <c r="K112" s="25"/>
      <c r="L112" s="25"/>
    </row>
    <row r="113" customFormat="false" ht="15" hidden="false" customHeight="false" outlineLevel="0" collapsed="false">
      <c r="A113" s="25"/>
      <c r="B113" s="25"/>
      <c r="C113" s="25"/>
      <c r="D113" s="26"/>
      <c r="E113" s="25"/>
      <c r="F113" s="26"/>
      <c r="G113" s="25"/>
      <c r="H113" s="27"/>
      <c r="I113" s="28"/>
      <c r="J113" s="29" t="n">
        <f aca="false">OR(D113="Sí",D113="Parcial",D113="Implícito")*1+OR(F113="Sí",F113="Parcial",F113="Implícito")*1+OR(H113="Sí",H113="Parcial",H113="Implícito")*1</f>
        <v>0</v>
      </c>
      <c r="K113" s="25"/>
      <c r="L113" s="25"/>
    </row>
    <row r="114" customFormat="false" ht="15" hidden="false" customHeight="false" outlineLevel="0" collapsed="false">
      <c r="A114" s="25"/>
      <c r="B114" s="25"/>
      <c r="C114" s="25"/>
      <c r="D114" s="26"/>
      <c r="E114" s="25"/>
      <c r="F114" s="26"/>
      <c r="G114" s="25"/>
      <c r="H114" s="27"/>
      <c r="I114" s="28"/>
      <c r="J114" s="29" t="n">
        <f aca="false">OR(D114="Sí",D114="Parcial",D114="Implícito")*1+OR(F114="Sí",F114="Parcial",F114="Implícito")*1+OR(H114="Sí",H114="Parcial",H114="Implícito")*1</f>
        <v>0</v>
      </c>
      <c r="K114" s="25"/>
      <c r="L114" s="25"/>
    </row>
    <row r="115" customFormat="false" ht="15" hidden="false" customHeight="false" outlineLevel="0" collapsed="false">
      <c r="A115" s="25"/>
      <c r="B115" s="25"/>
      <c r="C115" s="25"/>
      <c r="D115" s="26"/>
      <c r="E115" s="25"/>
      <c r="F115" s="26"/>
      <c r="G115" s="25"/>
      <c r="H115" s="27"/>
      <c r="I115" s="28"/>
      <c r="J115" s="29" t="n">
        <f aca="false">OR(D115="Sí",D115="Parcial",D115="Implícito")*1+OR(F115="Sí",F115="Parcial",F115="Implícito")*1+OR(H115="Sí",H115="Parcial",H115="Implícito")*1</f>
        <v>0</v>
      </c>
      <c r="K115" s="25"/>
      <c r="L115" s="25"/>
    </row>
    <row r="116" customFormat="false" ht="15" hidden="false" customHeight="false" outlineLevel="0" collapsed="false">
      <c r="A116" s="25"/>
      <c r="B116" s="25"/>
      <c r="C116" s="25"/>
      <c r="D116" s="26"/>
      <c r="E116" s="25"/>
      <c r="F116" s="26"/>
      <c r="G116" s="25"/>
      <c r="H116" s="27"/>
      <c r="I116" s="28"/>
      <c r="J116" s="29" t="n">
        <f aca="false">OR(D116="Sí",D116="Parcial",D116="Implícito")*1+OR(F116="Sí",F116="Parcial",F116="Implícito")*1+OR(H116="Sí",H116="Parcial",H116="Implícito")*1</f>
        <v>0</v>
      </c>
      <c r="K116" s="25"/>
      <c r="L116" s="25"/>
    </row>
    <row r="117" customFormat="false" ht="15" hidden="false" customHeight="false" outlineLevel="0" collapsed="false">
      <c r="A117" s="25"/>
      <c r="B117" s="25"/>
      <c r="C117" s="25"/>
      <c r="D117" s="26"/>
      <c r="E117" s="25"/>
      <c r="F117" s="26"/>
      <c r="G117" s="25"/>
      <c r="H117" s="27"/>
      <c r="I117" s="28"/>
      <c r="J117" s="29" t="n">
        <f aca="false">OR(D117="Sí",D117="Parcial",D117="Implícito")*1+OR(F117="Sí",F117="Parcial",F117="Implícito")*1+OR(H117="Sí",H117="Parcial",H117="Implícito")*1</f>
        <v>0</v>
      </c>
      <c r="K117" s="25"/>
      <c r="L117" s="25"/>
    </row>
    <row r="118" customFormat="false" ht="15" hidden="false" customHeight="false" outlineLevel="0" collapsed="false">
      <c r="A118" s="25"/>
      <c r="B118" s="25"/>
      <c r="C118" s="25"/>
      <c r="D118" s="26"/>
      <c r="E118" s="25"/>
      <c r="F118" s="26"/>
      <c r="G118" s="25"/>
      <c r="H118" s="27"/>
      <c r="I118" s="28"/>
      <c r="J118" s="29" t="n">
        <f aca="false">OR(D118="Sí",D118="Parcial",D118="Implícito")*1+OR(F118="Sí",F118="Parcial",F118="Implícito")*1+OR(H118="Sí",H118="Parcial",H118="Implícito")*1</f>
        <v>0</v>
      </c>
      <c r="K118" s="25"/>
      <c r="L118" s="25"/>
    </row>
    <row r="119" customFormat="false" ht="15" hidden="false" customHeight="false" outlineLevel="0" collapsed="false">
      <c r="A119" s="25"/>
      <c r="B119" s="25"/>
      <c r="C119" s="25"/>
      <c r="D119" s="26"/>
      <c r="E119" s="25"/>
      <c r="F119" s="26"/>
      <c r="G119" s="25"/>
      <c r="H119" s="27"/>
      <c r="I119" s="28"/>
      <c r="J119" s="29" t="n">
        <f aca="false">OR(D119="Sí",D119="Parcial",D119="Implícito")*1+OR(F119="Sí",F119="Parcial",F119="Implícito")*1+OR(H119="Sí",H119="Parcial",H119="Implícito")*1</f>
        <v>0</v>
      </c>
      <c r="K119" s="25"/>
      <c r="L119" s="25"/>
    </row>
    <row r="120" customFormat="false" ht="15" hidden="false" customHeight="false" outlineLevel="0" collapsed="false">
      <c r="A120" s="25"/>
      <c r="B120" s="25"/>
      <c r="C120" s="25"/>
      <c r="D120" s="26"/>
      <c r="E120" s="25"/>
      <c r="F120" s="26"/>
      <c r="G120" s="25"/>
      <c r="H120" s="27"/>
      <c r="I120" s="28"/>
      <c r="J120" s="29" t="n">
        <f aca="false">OR(D120="Sí",D120="Parcial",D120="Implícito")*1+OR(F120="Sí",F120="Parcial",F120="Implícito")*1+OR(H120="Sí",H120="Parcial",H120="Implícito")*1</f>
        <v>0</v>
      </c>
      <c r="K120" s="25"/>
      <c r="L120" s="25"/>
    </row>
    <row r="121" customFormat="false" ht="15" hidden="false" customHeight="false" outlineLevel="0" collapsed="false">
      <c r="A121" s="25"/>
      <c r="B121" s="25"/>
      <c r="C121" s="25"/>
      <c r="D121" s="26"/>
      <c r="E121" s="25"/>
      <c r="F121" s="26"/>
      <c r="G121" s="25"/>
      <c r="H121" s="27"/>
      <c r="I121" s="28"/>
      <c r="J121" s="29" t="n">
        <f aca="false">OR(D121="Sí",D121="Parcial",D121="Implícito")*1+OR(F121="Sí",F121="Parcial",F121="Implícito")*1+OR(H121="Sí",H121="Parcial",H121="Implícito")*1</f>
        <v>0</v>
      </c>
      <c r="K121" s="25"/>
      <c r="L121" s="25"/>
    </row>
    <row r="122" customFormat="false" ht="15" hidden="false" customHeight="false" outlineLevel="0" collapsed="false">
      <c r="A122" s="25"/>
      <c r="B122" s="25"/>
      <c r="C122" s="25"/>
      <c r="D122" s="26"/>
      <c r="E122" s="25"/>
      <c r="F122" s="26"/>
      <c r="G122" s="25"/>
      <c r="H122" s="27"/>
      <c r="I122" s="28"/>
      <c r="J122" s="29" t="n">
        <f aca="false">OR(D122="Sí",D122="Parcial",D122="Implícito")*1+OR(F122="Sí",F122="Parcial",F122="Implícito")*1+OR(H122="Sí",H122="Parcial",H122="Implícito")*1</f>
        <v>0</v>
      </c>
      <c r="K122" s="25"/>
      <c r="L122" s="25"/>
    </row>
    <row r="123" customFormat="false" ht="15" hidden="false" customHeight="false" outlineLevel="0" collapsed="false">
      <c r="A123" s="25"/>
      <c r="B123" s="25"/>
      <c r="C123" s="25"/>
      <c r="D123" s="26"/>
      <c r="E123" s="25"/>
      <c r="F123" s="26"/>
      <c r="G123" s="25"/>
      <c r="H123" s="27"/>
      <c r="I123" s="28"/>
      <c r="J123" s="29" t="n">
        <f aca="false">OR(D123="Sí",D123="Parcial",D123="Implícito")*1+OR(F123="Sí",F123="Parcial",F123="Implícito")*1+OR(H123="Sí",H123="Parcial",H123="Implícito")*1</f>
        <v>0</v>
      </c>
      <c r="K123" s="25"/>
      <c r="L123" s="25"/>
    </row>
    <row r="124" customFormat="false" ht="15" hidden="false" customHeight="false" outlineLevel="0" collapsed="false">
      <c r="A124" s="25"/>
      <c r="B124" s="25"/>
      <c r="C124" s="25"/>
      <c r="D124" s="26"/>
      <c r="E124" s="25"/>
      <c r="F124" s="26"/>
      <c r="G124" s="25"/>
      <c r="H124" s="27"/>
      <c r="I124" s="28"/>
      <c r="J124" s="29" t="n">
        <f aca="false">OR(D124="Sí",D124="Parcial",D124="Implícito")*1+OR(F124="Sí",F124="Parcial",F124="Implícito")*1+OR(H124="Sí",H124="Parcial",H124="Implícito")*1</f>
        <v>0</v>
      </c>
      <c r="K124" s="25"/>
      <c r="L124" s="25"/>
    </row>
    <row r="125" customFormat="false" ht="15" hidden="false" customHeight="false" outlineLevel="0" collapsed="false">
      <c r="A125" s="25"/>
      <c r="B125" s="25"/>
      <c r="C125" s="25"/>
      <c r="D125" s="26"/>
      <c r="E125" s="25"/>
      <c r="F125" s="26"/>
      <c r="G125" s="25"/>
      <c r="H125" s="27"/>
      <c r="I125" s="28"/>
      <c r="J125" s="29" t="n">
        <f aca="false">OR(D125="Sí",D125="Parcial",D125="Implícito")*1+OR(F125="Sí",F125="Parcial",F125="Implícito")*1+OR(H125="Sí",H125="Parcial",H125="Implícito")*1</f>
        <v>0</v>
      </c>
      <c r="K125" s="25"/>
      <c r="L125" s="25"/>
    </row>
    <row r="126" customFormat="false" ht="15" hidden="false" customHeight="false" outlineLevel="0" collapsed="false">
      <c r="A126" s="25"/>
      <c r="B126" s="25"/>
      <c r="C126" s="25"/>
      <c r="D126" s="26"/>
      <c r="E126" s="25"/>
      <c r="F126" s="26"/>
      <c r="G126" s="25"/>
      <c r="H126" s="27"/>
      <c r="I126" s="28"/>
      <c r="J126" s="29" t="n">
        <f aca="false">OR(D126="Sí",D126="Parcial",D126="Implícito")*1+OR(F126="Sí",F126="Parcial",F126="Implícito")*1+OR(H126="Sí",H126="Parcial",H126="Implícito")*1</f>
        <v>0</v>
      </c>
      <c r="K126" s="25"/>
      <c r="L126" s="25"/>
    </row>
    <row r="127" customFormat="false" ht="15" hidden="false" customHeight="false" outlineLevel="0" collapsed="false">
      <c r="A127" s="25"/>
      <c r="B127" s="25"/>
      <c r="C127" s="25"/>
      <c r="D127" s="26"/>
      <c r="E127" s="25"/>
      <c r="F127" s="26"/>
      <c r="G127" s="25"/>
      <c r="H127" s="27"/>
      <c r="I127" s="28"/>
      <c r="J127" s="29" t="n">
        <f aca="false">OR(D127="Sí",D127="Parcial",D127="Implícito")*1+OR(F127="Sí",F127="Parcial",F127="Implícito")*1+OR(H127="Sí",H127="Parcial",H127="Implícito")*1</f>
        <v>0</v>
      </c>
      <c r="K127" s="25"/>
      <c r="L127" s="25"/>
    </row>
    <row r="128" customFormat="false" ht="15" hidden="false" customHeight="false" outlineLevel="0" collapsed="false">
      <c r="A128" s="25"/>
      <c r="B128" s="25"/>
      <c r="C128" s="25"/>
      <c r="D128" s="26"/>
      <c r="E128" s="25"/>
      <c r="F128" s="26"/>
      <c r="G128" s="25"/>
      <c r="H128" s="27"/>
      <c r="I128" s="28"/>
      <c r="J128" s="29" t="n">
        <f aca="false">OR(D128="Sí",D128="Parcial",D128="Implícito")*1+OR(F128="Sí",F128="Parcial",F128="Implícito")*1+OR(H128="Sí",H128="Parcial",H128="Implícito")*1</f>
        <v>0</v>
      </c>
      <c r="K128" s="25"/>
      <c r="L128" s="25"/>
    </row>
    <row r="129" customFormat="false" ht="15" hidden="false" customHeight="false" outlineLevel="0" collapsed="false">
      <c r="A129" s="25"/>
      <c r="B129" s="25"/>
      <c r="C129" s="25"/>
      <c r="D129" s="26"/>
      <c r="E129" s="25"/>
      <c r="F129" s="26"/>
      <c r="G129" s="25"/>
      <c r="H129" s="27"/>
      <c r="I129" s="28"/>
      <c r="J129" s="29" t="n">
        <f aca="false">OR(D129="Sí",D129="Parcial",D129="Implícito")*1+OR(F129="Sí",F129="Parcial",F129="Implícito")*1+OR(H129="Sí",H129="Parcial",H129="Implícito")*1</f>
        <v>0</v>
      </c>
      <c r="K129" s="25"/>
      <c r="L129" s="25"/>
    </row>
    <row r="130" customFormat="false" ht="15" hidden="false" customHeight="false" outlineLevel="0" collapsed="false">
      <c r="A130" s="25"/>
      <c r="B130" s="25"/>
      <c r="C130" s="25"/>
      <c r="D130" s="26"/>
      <c r="E130" s="25"/>
      <c r="F130" s="26"/>
      <c r="G130" s="25"/>
      <c r="H130" s="27"/>
      <c r="I130" s="28"/>
      <c r="J130" s="29" t="n">
        <f aca="false">OR(D130="Sí",D130="Parcial",D130="Implícito")*1+OR(F130="Sí",F130="Parcial",F130="Implícito")*1+OR(H130="Sí",H130="Parcial",H130="Implícito")*1</f>
        <v>0</v>
      </c>
      <c r="K130" s="25"/>
      <c r="L130" s="25"/>
    </row>
    <row r="131" customFormat="false" ht="15" hidden="false" customHeight="false" outlineLevel="0" collapsed="false">
      <c r="A131" s="25"/>
      <c r="B131" s="25"/>
      <c r="C131" s="25"/>
      <c r="D131" s="26"/>
      <c r="E131" s="25"/>
      <c r="F131" s="26"/>
      <c r="G131" s="25"/>
      <c r="H131" s="27"/>
      <c r="I131" s="28"/>
      <c r="J131" s="29" t="n">
        <f aca="false">OR(D131="Sí",D131="Parcial",D131="Implícito")*1+OR(F131="Sí",F131="Parcial",F131="Implícito")*1+OR(H131="Sí",H131="Parcial",H131="Implícito")*1</f>
        <v>0</v>
      </c>
      <c r="K131" s="25"/>
      <c r="L131" s="25"/>
    </row>
    <row r="132" customFormat="false" ht="15" hidden="false" customHeight="false" outlineLevel="0" collapsed="false">
      <c r="A132" s="25"/>
      <c r="B132" s="25"/>
      <c r="C132" s="25"/>
      <c r="D132" s="26"/>
      <c r="E132" s="25"/>
      <c r="F132" s="26"/>
      <c r="G132" s="25"/>
      <c r="H132" s="27"/>
      <c r="I132" s="28"/>
      <c r="J132" s="29" t="n">
        <f aca="false">OR(D132="Sí",D132="Parcial",D132="Implícito")*1+OR(F132="Sí",F132="Parcial",F132="Implícito")*1+OR(H132="Sí",H132="Parcial",H132="Implícito")*1</f>
        <v>0</v>
      </c>
      <c r="K132" s="25"/>
      <c r="L132" s="25"/>
    </row>
    <row r="133" customFormat="false" ht="15" hidden="false" customHeight="false" outlineLevel="0" collapsed="false">
      <c r="A133" s="25"/>
      <c r="B133" s="25"/>
      <c r="C133" s="25"/>
      <c r="D133" s="26"/>
      <c r="E133" s="25"/>
      <c r="F133" s="26"/>
      <c r="G133" s="25"/>
      <c r="H133" s="27"/>
      <c r="I133" s="28"/>
      <c r="J133" s="29" t="n">
        <f aca="false">OR(D133="Sí",D133="Parcial",D133="Implícito")*1+OR(F133="Sí",F133="Parcial",F133="Implícito")*1+OR(H133="Sí",H133="Parcial",H133="Implícito")*1</f>
        <v>0</v>
      </c>
      <c r="K133" s="25"/>
      <c r="L133" s="25"/>
    </row>
    <row r="134" customFormat="false" ht="15" hidden="false" customHeight="false" outlineLevel="0" collapsed="false">
      <c r="A134" s="25"/>
      <c r="B134" s="25"/>
      <c r="C134" s="25"/>
      <c r="D134" s="26"/>
      <c r="E134" s="25"/>
      <c r="F134" s="26"/>
      <c r="G134" s="25"/>
      <c r="H134" s="27"/>
      <c r="I134" s="28"/>
      <c r="J134" s="29" t="n">
        <f aca="false">OR(D134="Sí",D134="Parcial",D134="Implícito")*1+OR(F134="Sí",F134="Parcial",F134="Implícito")*1+OR(H134="Sí",H134="Parcial",H134="Implícito")*1</f>
        <v>0</v>
      </c>
      <c r="K134" s="25"/>
      <c r="L134" s="25"/>
    </row>
    <row r="135" customFormat="false" ht="15" hidden="false" customHeight="false" outlineLevel="0" collapsed="false">
      <c r="A135" s="25"/>
      <c r="B135" s="25"/>
      <c r="C135" s="25"/>
      <c r="D135" s="26"/>
      <c r="E135" s="25"/>
      <c r="F135" s="26"/>
      <c r="G135" s="25"/>
      <c r="H135" s="27"/>
      <c r="I135" s="28"/>
      <c r="J135" s="29" t="n">
        <f aca="false">OR(D135="Sí",D135="Parcial",D135="Implícito")*1+OR(F135="Sí",F135="Parcial",F135="Implícito")*1+OR(H135="Sí",H135="Parcial",H135="Implícito")*1</f>
        <v>0</v>
      </c>
      <c r="K135" s="25"/>
      <c r="L135" s="25"/>
    </row>
    <row r="136" customFormat="false" ht="15" hidden="false" customHeight="false" outlineLevel="0" collapsed="false">
      <c r="A136" s="25"/>
      <c r="B136" s="25"/>
      <c r="C136" s="25"/>
      <c r="D136" s="26"/>
      <c r="E136" s="25"/>
      <c r="F136" s="26"/>
      <c r="G136" s="25"/>
      <c r="H136" s="27"/>
      <c r="I136" s="28"/>
      <c r="J136" s="29" t="n">
        <f aca="false">OR(D136="Sí",D136="Parcial",D136="Implícito")*1+OR(F136="Sí",F136="Parcial",F136="Implícito")*1+OR(H136="Sí",H136="Parcial",H136="Implícito")*1</f>
        <v>0</v>
      </c>
      <c r="K136" s="25"/>
      <c r="L136" s="25"/>
    </row>
    <row r="137" customFormat="false" ht="15" hidden="false" customHeight="false" outlineLevel="0" collapsed="false">
      <c r="A137" s="25"/>
      <c r="B137" s="25"/>
      <c r="C137" s="25"/>
      <c r="D137" s="26"/>
      <c r="E137" s="25"/>
      <c r="F137" s="26"/>
      <c r="G137" s="25"/>
      <c r="H137" s="27"/>
      <c r="I137" s="28"/>
      <c r="J137" s="29" t="n">
        <f aca="false">OR(D137="Sí",D137="Parcial",D137="Implícito")*1+OR(F137="Sí",F137="Parcial",F137="Implícito")*1+OR(H137="Sí",H137="Parcial",H137="Implícito")*1</f>
        <v>0</v>
      </c>
      <c r="K137" s="25"/>
      <c r="L137" s="25"/>
    </row>
    <row r="138" customFormat="false" ht="15" hidden="false" customHeight="false" outlineLevel="0" collapsed="false">
      <c r="A138" s="25"/>
      <c r="B138" s="25"/>
      <c r="C138" s="25"/>
      <c r="D138" s="26"/>
      <c r="E138" s="25"/>
      <c r="F138" s="26"/>
      <c r="G138" s="25"/>
      <c r="H138" s="27"/>
      <c r="I138" s="28"/>
      <c r="J138" s="29" t="n">
        <f aca="false">OR(D138="Sí",D138="Parcial",D138="Implícito")*1+OR(F138="Sí",F138="Parcial",F138="Implícito")*1+OR(H138="Sí",H138="Parcial",H138="Implícito")*1</f>
        <v>0</v>
      </c>
      <c r="K138" s="25"/>
      <c r="L138" s="25"/>
    </row>
    <row r="139" customFormat="false" ht="15" hidden="false" customHeight="false" outlineLevel="0" collapsed="false">
      <c r="A139" s="25"/>
      <c r="B139" s="25"/>
      <c r="C139" s="25"/>
      <c r="D139" s="26"/>
      <c r="E139" s="25"/>
      <c r="F139" s="26"/>
      <c r="G139" s="25"/>
      <c r="H139" s="27"/>
      <c r="I139" s="28"/>
      <c r="J139" s="29" t="n">
        <f aca="false">OR(D139="Sí",D139="Parcial",D139="Implícito")*1+OR(F139="Sí",F139="Parcial",F139="Implícito")*1+OR(H139="Sí",H139="Parcial",H139="Implícito")*1</f>
        <v>0</v>
      </c>
      <c r="K139" s="25"/>
      <c r="L139" s="25"/>
    </row>
    <row r="140" customFormat="false" ht="15" hidden="false" customHeight="false" outlineLevel="0" collapsed="false">
      <c r="A140" s="25"/>
      <c r="B140" s="25"/>
      <c r="C140" s="25"/>
      <c r="D140" s="26"/>
      <c r="E140" s="25"/>
      <c r="F140" s="26"/>
      <c r="G140" s="25"/>
      <c r="H140" s="27"/>
      <c r="I140" s="28"/>
      <c r="J140" s="29" t="n">
        <f aca="false">OR(D140="Sí",D140="Parcial",D140="Implícito")*1+OR(F140="Sí",F140="Parcial",F140="Implícito")*1+OR(H140="Sí",H140="Parcial",H140="Implícito")*1</f>
        <v>0</v>
      </c>
      <c r="K140" s="25"/>
      <c r="L140" s="25"/>
    </row>
    <row r="141" customFormat="false" ht="15" hidden="false" customHeight="false" outlineLevel="0" collapsed="false">
      <c r="A141" s="25"/>
      <c r="B141" s="25"/>
      <c r="C141" s="25"/>
      <c r="D141" s="26"/>
      <c r="E141" s="25"/>
      <c r="F141" s="26"/>
      <c r="G141" s="25"/>
      <c r="H141" s="27"/>
      <c r="I141" s="28"/>
      <c r="J141" s="29" t="n">
        <f aca="false">OR(D141="Sí",D141="Parcial",D141="Implícito")*1+OR(F141="Sí",F141="Parcial",F141="Implícito")*1+OR(H141="Sí",H141="Parcial",H141="Implícito")*1</f>
        <v>0</v>
      </c>
      <c r="K141" s="25"/>
      <c r="L141" s="25"/>
    </row>
    <row r="142" customFormat="false" ht="15" hidden="false" customHeight="false" outlineLevel="0" collapsed="false">
      <c r="A142" s="25"/>
      <c r="B142" s="25"/>
      <c r="C142" s="25"/>
      <c r="D142" s="26"/>
      <c r="E142" s="25"/>
      <c r="F142" s="26"/>
      <c r="G142" s="25"/>
      <c r="H142" s="27"/>
      <c r="I142" s="28"/>
      <c r="J142" s="29" t="n">
        <f aca="false">OR(D142="Sí",D142="Parcial",D142="Implícito")*1+OR(F142="Sí",F142="Parcial",F142="Implícito")*1+OR(H142="Sí",H142="Parcial",H142="Implícito")*1</f>
        <v>0</v>
      </c>
      <c r="K142" s="25"/>
      <c r="L142" s="25"/>
    </row>
    <row r="143" customFormat="false" ht="15" hidden="false" customHeight="false" outlineLevel="0" collapsed="false">
      <c r="A143" s="25"/>
      <c r="B143" s="25"/>
      <c r="C143" s="25"/>
      <c r="D143" s="26"/>
      <c r="E143" s="25"/>
      <c r="F143" s="26"/>
      <c r="G143" s="25"/>
      <c r="H143" s="27"/>
      <c r="I143" s="28"/>
      <c r="J143" s="29" t="n">
        <f aca="false">OR(D143="Sí",D143="Parcial",D143="Implícito")*1+OR(F143="Sí",F143="Parcial",F143="Implícito")*1+OR(H143="Sí",H143="Parcial",H143="Implícito")*1</f>
        <v>0</v>
      </c>
      <c r="K143" s="25"/>
      <c r="L143" s="25"/>
    </row>
    <row r="144" customFormat="false" ht="15" hidden="false" customHeight="false" outlineLevel="0" collapsed="false">
      <c r="A144" s="25"/>
      <c r="B144" s="25"/>
      <c r="C144" s="25"/>
      <c r="D144" s="26"/>
      <c r="E144" s="25"/>
      <c r="F144" s="26"/>
      <c r="G144" s="25"/>
      <c r="H144" s="27"/>
      <c r="I144" s="28"/>
      <c r="J144" s="29" t="n">
        <f aca="false">OR(D144="Sí",D144="Parcial",D144="Implícito")*1+OR(F144="Sí",F144="Parcial",F144="Implícito")*1+OR(H144="Sí",H144="Parcial",H144="Implícito")*1</f>
        <v>0</v>
      </c>
      <c r="K144" s="25"/>
      <c r="L144" s="25"/>
    </row>
    <row r="145" customFormat="false" ht="15" hidden="false" customHeight="false" outlineLevel="0" collapsed="false">
      <c r="A145" s="25"/>
      <c r="B145" s="25"/>
      <c r="C145" s="25"/>
      <c r="D145" s="26"/>
      <c r="E145" s="25"/>
      <c r="F145" s="26"/>
      <c r="G145" s="25"/>
      <c r="H145" s="27"/>
      <c r="I145" s="28"/>
      <c r="J145" s="29" t="n">
        <f aca="false">OR(D145="Sí",D145="Parcial",D145="Implícito")*1+OR(F145="Sí",F145="Parcial",F145="Implícito")*1+OR(H145="Sí",H145="Parcial",H145="Implícito")*1</f>
        <v>0</v>
      </c>
      <c r="K145" s="25"/>
      <c r="L145" s="25"/>
    </row>
    <row r="146" customFormat="false" ht="15" hidden="false" customHeight="false" outlineLevel="0" collapsed="false">
      <c r="A146" s="25"/>
      <c r="B146" s="25"/>
      <c r="C146" s="25"/>
      <c r="D146" s="26"/>
      <c r="E146" s="25"/>
      <c r="F146" s="26"/>
      <c r="G146" s="25"/>
      <c r="H146" s="27"/>
      <c r="I146" s="28"/>
      <c r="J146" s="29" t="n">
        <f aca="false">OR(D146="Sí",D146="Parcial",D146="Implícito")*1+OR(F146="Sí",F146="Parcial",F146="Implícito")*1+OR(H146="Sí",H146="Parcial",H146="Implícito")*1</f>
        <v>0</v>
      </c>
      <c r="K146" s="25"/>
      <c r="L146" s="25"/>
    </row>
    <row r="147" customFormat="false" ht="15" hidden="false" customHeight="false" outlineLevel="0" collapsed="false">
      <c r="A147" s="25"/>
      <c r="B147" s="25"/>
      <c r="C147" s="25"/>
      <c r="D147" s="26"/>
      <c r="E147" s="25"/>
      <c r="F147" s="26"/>
      <c r="G147" s="25"/>
      <c r="H147" s="27"/>
      <c r="I147" s="28"/>
      <c r="J147" s="29" t="n">
        <f aca="false">OR(D147="Sí",D147="Parcial",D147="Implícito")*1+OR(F147="Sí",F147="Parcial",F147="Implícito")*1+OR(H147="Sí",H147="Parcial",H147="Implícito")*1</f>
        <v>0</v>
      </c>
      <c r="K147" s="25"/>
      <c r="L147" s="25"/>
    </row>
    <row r="148" customFormat="false" ht="15" hidden="false" customHeight="false" outlineLevel="0" collapsed="false">
      <c r="A148" s="25"/>
      <c r="B148" s="25"/>
      <c r="C148" s="25"/>
      <c r="D148" s="26"/>
      <c r="E148" s="25"/>
      <c r="F148" s="26"/>
      <c r="G148" s="25"/>
      <c r="H148" s="27"/>
      <c r="I148" s="28"/>
      <c r="J148" s="29" t="n">
        <f aca="false">OR(D148="Sí",D148="Parcial",D148="Implícito")*1+OR(F148="Sí",F148="Parcial",F148="Implícito")*1+OR(H148="Sí",H148="Parcial",H148="Implícito")*1</f>
        <v>0</v>
      </c>
      <c r="K148" s="25"/>
      <c r="L148" s="25"/>
    </row>
    <row r="149" customFormat="false" ht="15" hidden="false" customHeight="false" outlineLevel="0" collapsed="false">
      <c r="A149" s="25"/>
      <c r="B149" s="25"/>
      <c r="C149" s="25"/>
      <c r="D149" s="26"/>
      <c r="E149" s="25"/>
      <c r="F149" s="26"/>
      <c r="G149" s="25"/>
      <c r="H149" s="27"/>
      <c r="I149" s="28"/>
      <c r="J149" s="29" t="n">
        <f aca="false">OR(D149="Sí",D149="Parcial",D149="Implícito")*1+OR(F149="Sí",F149="Parcial",F149="Implícito")*1+OR(H149="Sí",H149="Parcial",H149="Implícito")*1</f>
        <v>0</v>
      </c>
      <c r="K149" s="25"/>
      <c r="L149" s="25"/>
    </row>
    <row r="150" customFormat="false" ht="15" hidden="false" customHeight="false" outlineLevel="0" collapsed="false">
      <c r="A150" s="25"/>
      <c r="B150" s="25"/>
      <c r="C150" s="25"/>
      <c r="D150" s="26"/>
      <c r="E150" s="25"/>
      <c r="F150" s="26"/>
      <c r="G150" s="25"/>
      <c r="H150" s="27"/>
      <c r="I150" s="28"/>
      <c r="J150" s="29" t="n">
        <f aca="false">OR(D150="Sí",D150="Parcial",D150="Implícito")*1+OR(F150="Sí",F150="Parcial",F150="Implícito")*1+OR(H150="Sí",H150="Parcial",H150="Implícito")*1</f>
        <v>0</v>
      </c>
      <c r="K150" s="25"/>
      <c r="L150" s="25"/>
    </row>
    <row r="151" customFormat="false" ht="15" hidden="false" customHeight="false" outlineLevel="0" collapsed="false">
      <c r="A151" s="25"/>
      <c r="B151" s="25"/>
      <c r="C151" s="25"/>
      <c r="D151" s="26"/>
      <c r="E151" s="25"/>
      <c r="F151" s="26"/>
      <c r="G151" s="25"/>
      <c r="H151" s="27"/>
      <c r="I151" s="28"/>
      <c r="J151" s="29" t="n">
        <f aca="false">OR(D151="Sí",D151="Parcial",D151="Implícito")*1+OR(F151="Sí",F151="Parcial",F151="Implícito")*1+OR(H151="Sí",H151="Parcial",H151="Implícito")*1</f>
        <v>0</v>
      </c>
      <c r="K151" s="25"/>
      <c r="L151" s="25"/>
    </row>
    <row r="152" customFormat="false" ht="15" hidden="false" customHeight="false" outlineLevel="0" collapsed="false">
      <c r="A152" s="25"/>
      <c r="B152" s="25"/>
      <c r="C152" s="25"/>
      <c r="D152" s="26"/>
      <c r="E152" s="25"/>
      <c r="F152" s="26"/>
      <c r="G152" s="25"/>
      <c r="H152" s="27"/>
      <c r="I152" s="28"/>
      <c r="J152" s="29" t="n">
        <f aca="false">OR(D152="Sí",D152="Parcial",D152="Implícito")*1+OR(F152="Sí",F152="Parcial",F152="Implícito")*1+OR(H152="Sí",H152="Parcial",H152="Implícito")*1</f>
        <v>0</v>
      </c>
      <c r="K152" s="25"/>
      <c r="L152" s="25"/>
    </row>
    <row r="153" customFormat="false" ht="15" hidden="false" customHeight="false" outlineLevel="0" collapsed="false">
      <c r="A153" s="25"/>
      <c r="B153" s="25"/>
      <c r="C153" s="25"/>
      <c r="D153" s="26"/>
      <c r="E153" s="25"/>
      <c r="F153" s="26"/>
      <c r="G153" s="25"/>
      <c r="H153" s="27"/>
      <c r="I153" s="28"/>
      <c r="J153" s="29" t="n">
        <f aca="false">OR(D153="Sí",D153="Parcial",D153="Implícito")*1+OR(F153="Sí",F153="Parcial",F153="Implícito")*1+OR(H153="Sí",H153="Parcial",H153="Implícito")*1</f>
        <v>0</v>
      </c>
      <c r="K153" s="25"/>
      <c r="L153" s="25"/>
    </row>
    <row r="154" customFormat="false" ht="15" hidden="false" customHeight="false" outlineLevel="0" collapsed="false">
      <c r="A154" s="25"/>
      <c r="B154" s="25"/>
      <c r="C154" s="25"/>
      <c r="D154" s="26"/>
      <c r="E154" s="25"/>
      <c r="F154" s="26"/>
      <c r="G154" s="25"/>
      <c r="H154" s="27"/>
      <c r="I154" s="28"/>
      <c r="J154" s="29" t="n">
        <f aca="false">OR(D154="Sí",D154="Parcial",D154="Implícito")*1+OR(F154="Sí",F154="Parcial",F154="Implícito")*1+OR(H154="Sí",H154="Parcial",H154="Implícito")*1</f>
        <v>0</v>
      </c>
      <c r="K154" s="25"/>
      <c r="L154" s="25"/>
    </row>
    <row r="155" customFormat="false" ht="15" hidden="false" customHeight="false" outlineLevel="0" collapsed="false">
      <c r="A155" s="25"/>
      <c r="B155" s="25"/>
      <c r="C155" s="25"/>
      <c r="D155" s="26"/>
      <c r="E155" s="25"/>
      <c r="F155" s="26"/>
      <c r="G155" s="25"/>
      <c r="H155" s="27"/>
      <c r="I155" s="28"/>
      <c r="J155" s="29" t="n">
        <f aca="false">OR(D155="Sí",D155="Parcial",D155="Implícito")*1+OR(F155="Sí",F155="Parcial",F155="Implícito")*1+OR(H155="Sí",H155="Parcial",H155="Implícito")*1</f>
        <v>0</v>
      </c>
      <c r="K155" s="25"/>
      <c r="L155" s="25"/>
    </row>
    <row r="156" customFormat="false" ht="15" hidden="false" customHeight="false" outlineLevel="0" collapsed="false">
      <c r="A156" s="25"/>
      <c r="B156" s="25"/>
      <c r="C156" s="25"/>
      <c r="D156" s="26"/>
      <c r="E156" s="25"/>
      <c r="F156" s="26"/>
      <c r="G156" s="25"/>
      <c r="H156" s="27"/>
      <c r="I156" s="28"/>
      <c r="J156" s="29" t="n">
        <f aca="false">OR(D156="Sí",D156="Parcial",D156="Implícito")*1+OR(F156="Sí",F156="Parcial",F156="Implícito")*1+OR(H156="Sí",H156="Parcial",H156="Implícito")*1</f>
        <v>0</v>
      </c>
      <c r="K156" s="25"/>
      <c r="L156" s="25"/>
    </row>
    <row r="157" customFormat="false" ht="15" hidden="false" customHeight="false" outlineLevel="0" collapsed="false">
      <c r="A157" s="25"/>
      <c r="B157" s="25"/>
      <c r="C157" s="25"/>
      <c r="D157" s="26"/>
      <c r="E157" s="25"/>
      <c r="F157" s="26"/>
      <c r="G157" s="25"/>
      <c r="H157" s="27"/>
      <c r="I157" s="28"/>
      <c r="J157" s="29" t="n">
        <f aca="false">OR(D157="Sí",D157="Parcial",D157="Implícito")*1+OR(F157="Sí",F157="Parcial",F157="Implícito")*1+OR(H157="Sí",H157="Parcial",H157="Implícito")*1</f>
        <v>0</v>
      </c>
      <c r="K157" s="25"/>
      <c r="L157" s="25"/>
    </row>
    <row r="158" customFormat="false" ht="15" hidden="false" customHeight="false" outlineLevel="0" collapsed="false">
      <c r="A158" s="25"/>
      <c r="B158" s="25"/>
      <c r="C158" s="25"/>
      <c r="D158" s="26"/>
      <c r="E158" s="25"/>
      <c r="F158" s="26"/>
      <c r="G158" s="25"/>
      <c r="H158" s="27"/>
      <c r="I158" s="28"/>
      <c r="J158" s="29" t="n">
        <f aca="false">OR(D158="Sí",D158="Parcial",D158="Implícito")*1+OR(F158="Sí",F158="Parcial",F158="Implícito")*1+OR(H158="Sí",H158="Parcial",H158="Implícito")*1</f>
        <v>0</v>
      </c>
      <c r="K158" s="25"/>
      <c r="L158" s="25"/>
    </row>
    <row r="159" customFormat="false" ht="15" hidden="false" customHeight="false" outlineLevel="0" collapsed="false">
      <c r="A159" s="25"/>
      <c r="B159" s="25"/>
      <c r="C159" s="25"/>
      <c r="D159" s="26"/>
      <c r="E159" s="25"/>
      <c r="F159" s="26"/>
      <c r="G159" s="25"/>
      <c r="H159" s="27"/>
      <c r="I159" s="28"/>
      <c r="J159" s="29" t="n">
        <f aca="false">OR(D159="Sí",D159="Parcial",D159="Implícito")*1+OR(F159="Sí",F159="Parcial",F159="Implícito")*1+OR(H159="Sí",H159="Parcial",H159="Implícito")*1</f>
        <v>0</v>
      </c>
      <c r="K159" s="25"/>
      <c r="L159" s="25"/>
    </row>
    <row r="160" customFormat="false" ht="15" hidden="false" customHeight="false" outlineLevel="0" collapsed="false">
      <c r="A160" s="25"/>
      <c r="B160" s="25"/>
      <c r="C160" s="25"/>
      <c r="D160" s="26"/>
      <c r="E160" s="25"/>
      <c r="F160" s="26"/>
      <c r="G160" s="25"/>
      <c r="H160" s="27"/>
      <c r="I160" s="28"/>
      <c r="J160" s="29" t="n">
        <f aca="false">OR(D160="Sí",D160="Parcial",D160="Implícito")*1+OR(F160="Sí",F160="Parcial",F160="Implícito")*1+OR(H160="Sí",H160="Parcial",H160="Implícito")*1</f>
        <v>0</v>
      </c>
      <c r="K160" s="25"/>
      <c r="L160" s="25"/>
    </row>
    <row r="161" customFormat="false" ht="15" hidden="false" customHeight="false" outlineLevel="0" collapsed="false">
      <c r="A161" s="25"/>
      <c r="B161" s="25"/>
      <c r="C161" s="25"/>
      <c r="D161" s="26"/>
      <c r="E161" s="25"/>
      <c r="F161" s="26"/>
      <c r="G161" s="25"/>
      <c r="H161" s="27"/>
      <c r="I161" s="28"/>
      <c r="J161" s="29" t="n">
        <f aca="false">OR(D161="Sí",D161="Parcial",D161="Implícito")*1+OR(F161="Sí",F161="Parcial",F161="Implícito")*1+OR(H161="Sí",H161="Parcial",H161="Implícito")*1</f>
        <v>0</v>
      </c>
      <c r="K161" s="25"/>
      <c r="L161" s="25"/>
    </row>
    <row r="162" customFormat="false" ht="15" hidden="false" customHeight="false" outlineLevel="0" collapsed="false">
      <c r="A162" s="25"/>
      <c r="B162" s="25"/>
      <c r="C162" s="25"/>
      <c r="D162" s="26"/>
      <c r="E162" s="25"/>
      <c r="F162" s="26"/>
      <c r="G162" s="25"/>
      <c r="H162" s="27"/>
      <c r="I162" s="28"/>
      <c r="J162" s="29" t="n">
        <f aca="false">OR(D162="Sí",D162="Parcial",D162="Implícito")*1+OR(F162="Sí",F162="Parcial",F162="Implícito")*1+OR(H162="Sí",H162="Parcial",H162="Implícito")*1</f>
        <v>0</v>
      </c>
      <c r="K162" s="25"/>
      <c r="L162" s="25"/>
    </row>
    <row r="163" customFormat="false" ht="15" hidden="false" customHeight="false" outlineLevel="0" collapsed="false">
      <c r="A163" s="25"/>
      <c r="B163" s="25"/>
      <c r="C163" s="25"/>
      <c r="D163" s="26"/>
      <c r="E163" s="25"/>
      <c r="F163" s="26"/>
      <c r="G163" s="25"/>
      <c r="H163" s="27"/>
      <c r="I163" s="28"/>
      <c r="J163" s="29" t="n">
        <f aca="false">OR(D163="Sí",D163="Parcial",D163="Implícito")*1+OR(F163="Sí",F163="Parcial",F163="Implícito")*1+OR(H163="Sí",H163="Parcial",H163="Implícito")*1</f>
        <v>0</v>
      </c>
      <c r="K163" s="25"/>
      <c r="L163" s="25"/>
    </row>
    <row r="164" customFormat="false" ht="15" hidden="false" customHeight="false" outlineLevel="0" collapsed="false">
      <c r="A164" s="25"/>
      <c r="B164" s="25"/>
      <c r="C164" s="25"/>
      <c r="D164" s="26"/>
      <c r="E164" s="25"/>
      <c r="F164" s="26"/>
      <c r="G164" s="25"/>
      <c r="H164" s="27"/>
      <c r="I164" s="28"/>
      <c r="J164" s="29" t="n">
        <f aca="false">OR(D164="Sí",D164="Parcial",D164="Implícito")*1+OR(F164="Sí",F164="Parcial",F164="Implícito")*1+OR(H164="Sí",H164="Parcial",H164="Implícito")*1</f>
        <v>0</v>
      </c>
      <c r="K164" s="25"/>
      <c r="L164" s="25"/>
    </row>
    <row r="165" customFormat="false" ht="15" hidden="false" customHeight="false" outlineLevel="0" collapsed="false">
      <c r="A165" s="25"/>
      <c r="B165" s="25"/>
      <c r="C165" s="25"/>
      <c r="D165" s="26"/>
      <c r="E165" s="25"/>
      <c r="F165" s="26"/>
      <c r="G165" s="25"/>
      <c r="H165" s="27"/>
      <c r="I165" s="28"/>
      <c r="J165" s="29" t="n">
        <f aca="false">OR(D165="Sí",D165="Parcial",D165="Implícito")*1+OR(F165="Sí",F165="Parcial",F165="Implícito")*1+OR(H165="Sí",H165="Parcial",H165="Implícito")*1</f>
        <v>0</v>
      </c>
      <c r="K165" s="25"/>
      <c r="L165" s="25"/>
    </row>
    <row r="166" customFormat="false" ht="15" hidden="false" customHeight="false" outlineLevel="0" collapsed="false">
      <c r="A166" s="25"/>
      <c r="B166" s="25"/>
      <c r="C166" s="25"/>
      <c r="D166" s="26"/>
      <c r="E166" s="25"/>
      <c r="F166" s="26"/>
      <c r="G166" s="25"/>
      <c r="H166" s="27"/>
      <c r="I166" s="28"/>
      <c r="J166" s="29" t="n">
        <f aca="false">OR(D166="Sí",D166="Parcial",D166="Implícito")*1+OR(F166="Sí",F166="Parcial",F166="Implícito")*1+OR(H166="Sí",H166="Parcial",H166="Implícito")*1</f>
        <v>0</v>
      </c>
      <c r="K166" s="25"/>
      <c r="L166" s="25"/>
    </row>
    <row r="167" customFormat="false" ht="15" hidden="false" customHeight="false" outlineLevel="0" collapsed="false">
      <c r="A167" s="25"/>
      <c r="B167" s="25"/>
      <c r="C167" s="25"/>
      <c r="D167" s="26"/>
      <c r="E167" s="25"/>
      <c r="F167" s="26"/>
      <c r="G167" s="25"/>
      <c r="H167" s="27"/>
      <c r="I167" s="28"/>
      <c r="J167" s="29" t="n">
        <f aca="false">OR(D167="Sí",D167="Parcial",D167="Implícito")*1+OR(F167="Sí",F167="Parcial",F167="Implícito")*1+OR(H167="Sí",H167="Parcial",H167="Implícito")*1</f>
        <v>0</v>
      </c>
      <c r="K167" s="25"/>
      <c r="L167" s="25"/>
    </row>
    <row r="168" customFormat="false" ht="15" hidden="false" customHeight="false" outlineLevel="0" collapsed="false">
      <c r="A168" s="25"/>
      <c r="B168" s="25"/>
      <c r="C168" s="25"/>
      <c r="D168" s="26"/>
      <c r="E168" s="25"/>
      <c r="F168" s="26"/>
      <c r="G168" s="25"/>
      <c r="H168" s="27"/>
      <c r="I168" s="28"/>
      <c r="J168" s="29" t="n">
        <f aca="false">OR(D168="Sí",D168="Parcial",D168="Implícito")*1+OR(F168="Sí",F168="Parcial",F168="Implícito")*1+OR(H168="Sí",H168="Parcial",H168="Implícito")*1</f>
        <v>0</v>
      </c>
      <c r="K168" s="25"/>
      <c r="L168" s="25"/>
    </row>
    <row r="169" customFormat="false" ht="15" hidden="false" customHeight="false" outlineLevel="0" collapsed="false">
      <c r="A169" s="25"/>
      <c r="B169" s="25"/>
      <c r="C169" s="25"/>
      <c r="D169" s="26"/>
      <c r="E169" s="25"/>
      <c r="F169" s="26"/>
      <c r="G169" s="25"/>
      <c r="H169" s="27"/>
      <c r="I169" s="28"/>
      <c r="J169" s="29" t="n">
        <f aca="false">OR(D169="Sí",D169="Parcial",D169="Implícito")*1+OR(F169="Sí",F169="Parcial",F169="Implícito")*1+OR(H169="Sí",H169="Parcial",H169="Implícito")*1</f>
        <v>0</v>
      </c>
      <c r="K169" s="25"/>
      <c r="L169" s="25"/>
    </row>
    <row r="170" customFormat="false" ht="15" hidden="false" customHeight="false" outlineLevel="0" collapsed="false">
      <c r="A170" s="25"/>
      <c r="B170" s="25"/>
      <c r="C170" s="25"/>
      <c r="D170" s="26"/>
      <c r="E170" s="25"/>
      <c r="F170" s="26"/>
      <c r="G170" s="25"/>
      <c r="H170" s="27"/>
      <c r="I170" s="28"/>
      <c r="J170" s="29" t="n">
        <f aca="false">OR(D170="Sí",D170="Parcial",D170="Implícito")*1+OR(F170="Sí",F170="Parcial",F170="Implícito")*1+OR(H170="Sí",H170="Parcial",H170="Implícito")*1</f>
        <v>0</v>
      </c>
      <c r="K170" s="25"/>
      <c r="L170" s="25"/>
    </row>
    <row r="171" customFormat="false" ht="15" hidden="false" customHeight="false" outlineLevel="0" collapsed="false">
      <c r="A171" s="25"/>
      <c r="B171" s="25"/>
      <c r="C171" s="25"/>
      <c r="D171" s="26"/>
      <c r="E171" s="25"/>
      <c r="F171" s="26"/>
      <c r="G171" s="25"/>
      <c r="H171" s="27"/>
      <c r="I171" s="28"/>
      <c r="J171" s="29" t="n">
        <f aca="false">OR(D171="Sí",D171="Parcial",D171="Implícito")*1+OR(F171="Sí",F171="Parcial",F171="Implícito")*1+OR(H171="Sí",H171="Parcial",H171="Implícito")*1</f>
        <v>0</v>
      </c>
      <c r="K171" s="25"/>
      <c r="L171" s="25"/>
    </row>
    <row r="172" customFormat="false" ht="15" hidden="false" customHeight="false" outlineLevel="0" collapsed="false">
      <c r="A172" s="25"/>
      <c r="B172" s="25"/>
      <c r="C172" s="25"/>
      <c r="D172" s="26"/>
      <c r="E172" s="25"/>
      <c r="F172" s="26"/>
      <c r="G172" s="25"/>
      <c r="H172" s="27"/>
      <c r="I172" s="28"/>
      <c r="J172" s="29" t="n">
        <f aca="false">OR(D172="Sí",D172="Parcial",D172="Implícito")*1+OR(F172="Sí",F172="Parcial",F172="Implícito")*1+OR(H172="Sí",H172="Parcial",H172="Implícito")*1</f>
        <v>0</v>
      </c>
      <c r="K172" s="25"/>
      <c r="L172" s="25"/>
    </row>
    <row r="173" customFormat="false" ht="15" hidden="false" customHeight="false" outlineLevel="0" collapsed="false">
      <c r="A173" s="25"/>
      <c r="B173" s="25"/>
      <c r="C173" s="25"/>
      <c r="D173" s="26"/>
      <c r="E173" s="25"/>
      <c r="F173" s="26"/>
      <c r="G173" s="25"/>
      <c r="H173" s="27"/>
      <c r="I173" s="28"/>
      <c r="J173" s="29" t="n">
        <f aca="false">OR(D173="Sí",D173="Parcial",D173="Implícito")*1+OR(F173="Sí",F173="Parcial",F173="Implícito")*1+OR(H173="Sí",H173="Parcial",H173="Implícito")*1</f>
        <v>0</v>
      </c>
      <c r="K173" s="25"/>
      <c r="L173" s="25"/>
    </row>
    <row r="174" customFormat="false" ht="15" hidden="false" customHeight="false" outlineLevel="0" collapsed="false">
      <c r="A174" s="25"/>
      <c r="B174" s="25"/>
      <c r="C174" s="25"/>
      <c r="D174" s="26"/>
      <c r="E174" s="25"/>
      <c r="F174" s="26"/>
      <c r="G174" s="25"/>
      <c r="H174" s="27"/>
      <c r="I174" s="28"/>
      <c r="J174" s="29" t="n">
        <f aca="false">OR(D174="Sí",D174="Parcial",D174="Implícito")*1+OR(F174="Sí",F174="Parcial",F174="Implícito")*1+OR(H174="Sí",H174="Parcial",H174="Implícito")*1</f>
        <v>0</v>
      </c>
      <c r="K174" s="25"/>
      <c r="L174" s="25"/>
    </row>
    <row r="175" customFormat="false" ht="15" hidden="false" customHeight="false" outlineLevel="0" collapsed="false">
      <c r="A175" s="25"/>
      <c r="B175" s="25"/>
      <c r="C175" s="25"/>
      <c r="D175" s="26"/>
      <c r="E175" s="25"/>
      <c r="F175" s="26"/>
      <c r="G175" s="25"/>
      <c r="H175" s="27"/>
      <c r="I175" s="28"/>
      <c r="J175" s="29" t="n">
        <f aca="false">OR(D175="Sí",D175="Parcial",D175="Implícito")*1+OR(F175="Sí",F175="Parcial",F175="Implícito")*1+OR(H175="Sí",H175="Parcial",H175="Implícito")*1</f>
        <v>0</v>
      </c>
      <c r="K175" s="25"/>
      <c r="L175" s="25"/>
    </row>
    <row r="176" customFormat="false" ht="15" hidden="false" customHeight="false" outlineLevel="0" collapsed="false">
      <c r="A176" s="25"/>
      <c r="B176" s="25"/>
      <c r="C176" s="25"/>
      <c r="D176" s="26"/>
      <c r="E176" s="25"/>
      <c r="F176" s="26"/>
      <c r="G176" s="25"/>
      <c r="H176" s="27"/>
      <c r="I176" s="28"/>
      <c r="J176" s="29" t="n">
        <f aca="false">OR(D176="Sí",D176="Parcial",D176="Implícito")*1+OR(F176="Sí",F176="Parcial",F176="Implícito")*1+OR(H176="Sí",H176="Parcial",H176="Implícito")*1</f>
        <v>0</v>
      </c>
      <c r="K176" s="25"/>
      <c r="L176" s="25"/>
    </row>
    <row r="177" customFormat="false" ht="15" hidden="false" customHeight="false" outlineLevel="0" collapsed="false">
      <c r="A177" s="25"/>
      <c r="B177" s="25"/>
      <c r="C177" s="25"/>
      <c r="D177" s="26"/>
      <c r="E177" s="25"/>
      <c r="F177" s="26"/>
      <c r="G177" s="25"/>
      <c r="H177" s="27"/>
      <c r="I177" s="28"/>
      <c r="J177" s="29" t="n">
        <f aca="false">OR(D177="Sí",D177="Parcial",D177="Implícito")*1+OR(F177="Sí",F177="Parcial",F177="Implícito")*1+OR(H177="Sí",H177="Parcial",H177="Implícito")*1</f>
        <v>0</v>
      </c>
      <c r="K177" s="25"/>
      <c r="L177" s="25"/>
    </row>
    <row r="178" customFormat="false" ht="15" hidden="false" customHeight="false" outlineLevel="0" collapsed="false">
      <c r="A178" s="25"/>
      <c r="B178" s="25"/>
      <c r="C178" s="25"/>
      <c r="D178" s="26"/>
      <c r="E178" s="25"/>
      <c r="F178" s="26"/>
      <c r="G178" s="25"/>
      <c r="H178" s="27"/>
      <c r="I178" s="28"/>
      <c r="J178" s="29" t="n">
        <f aca="false">OR(D178="Sí",D178="Parcial",D178="Implícito")*1+OR(F178="Sí",F178="Parcial",F178="Implícito")*1+OR(H178="Sí",H178="Parcial",H178="Implícito")*1</f>
        <v>0</v>
      </c>
      <c r="K178" s="25"/>
      <c r="L178" s="25"/>
    </row>
    <row r="179" customFormat="false" ht="15" hidden="false" customHeight="false" outlineLevel="0" collapsed="false">
      <c r="A179" s="25"/>
      <c r="B179" s="25"/>
      <c r="C179" s="25"/>
      <c r="D179" s="26"/>
      <c r="E179" s="25"/>
      <c r="F179" s="26"/>
      <c r="G179" s="25"/>
      <c r="H179" s="27"/>
      <c r="I179" s="28"/>
      <c r="J179" s="29" t="n">
        <f aca="false">OR(D179="Sí",D179="Parcial",D179="Implícito")*1+OR(F179="Sí",F179="Parcial",F179="Implícito")*1+OR(H179="Sí",H179="Parcial",H179="Implícito")*1</f>
        <v>0</v>
      </c>
      <c r="K179" s="25"/>
      <c r="L179" s="25"/>
    </row>
    <row r="180" customFormat="false" ht="15" hidden="false" customHeight="false" outlineLevel="0" collapsed="false">
      <c r="A180" s="25"/>
      <c r="B180" s="25"/>
      <c r="C180" s="25"/>
      <c r="D180" s="26"/>
      <c r="E180" s="25"/>
      <c r="F180" s="26"/>
      <c r="G180" s="25"/>
      <c r="H180" s="27"/>
      <c r="I180" s="28"/>
      <c r="J180" s="29" t="n">
        <f aca="false">OR(D180="Sí",D180="Parcial",D180="Implícito")*1+OR(F180="Sí",F180="Parcial",F180="Implícito")*1+OR(H180="Sí",H180="Parcial",H180="Implícito")*1</f>
        <v>0</v>
      </c>
      <c r="K180" s="25"/>
      <c r="L180" s="25"/>
    </row>
    <row r="181" customFormat="false" ht="15" hidden="false" customHeight="false" outlineLevel="0" collapsed="false">
      <c r="A181" s="25"/>
      <c r="B181" s="25"/>
      <c r="C181" s="25"/>
      <c r="D181" s="26"/>
      <c r="E181" s="25"/>
      <c r="F181" s="26"/>
      <c r="G181" s="25"/>
      <c r="H181" s="27"/>
      <c r="I181" s="28"/>
      <c r="J181" s="29" t="n">
        <f aca="false">OR(D181="Sí",D181="Parcial",D181="Implícito")*1+OR(F181="Sí",F181="Parcial",F181="Implícito")*1+OR(H181="Sí",H181="Parcial",H181="Implícito")*1</f>
        <v>0</v>
      </c>
      <c r="K181" s="25"/>
      <c r="L181" s="25"/>
    </row>
    <row r="182" customFormat="false" ht="15" hidden="false" customHeight="false" outlineLevel="0" collapsed="false">
      <c r="A182" s="25"/>
      <c r="B182" s="25"/>
      <c r="C182" s="25"/>
      <c r="D182" s="26"/>
      <c r="E182" s="25"/>
      <c r="F182" s="26"/>
      <c r="G182" s="25"/>
      <c r="H182" s="27"/>
      <c r="I182" s="28"/>
      <c r="J182" s="29" t="n">
        <f aca="false">OR(D182="Sí",D182="Parcial",D182="Implícito")*1+OR(F182="Sí",F182="Parcial",F182="Implícito")*1+OR(H182="Sí",H182="Parcial",H182="Implícito")*1</f>
        <v>0</v>
      </c>
      <c r="K182" s="25"/>
      <c r="L182" s="25"/>
    </row>
    <row r="183" customFormat="false" ht="15" hidden="false" customHeight="false" outlineLevel="0" collapsed="false">
      <c r="A183" s="25"/>
      <c r="B183" s="25"/>
      <c r="C183" s="25"/>
      <c r="D183" s="26"/>
      <c r="E183" s="25"/>
      <c r="F183" s="26"/>
      <c r="G183" s="25"/>
      <c r="H183" s="27"/>
      <c r="I183" s="28"/>
      <c r="J183" s="29" t="n">
        <f aca="false">OR(D183="Sí",D183="Parcial",D183="Implícito")*1+OR(F183="Sí",F183="Parcial",F183="Implícito")*1+OR(H183="Sí",H183="Parcial",H183="Implícito")*1</f>
        <v>0</v>
      </c>
      <c r="K183" s="25"/>
      <c r="L183" s="25"/>
    </row>
    <row r="184" customFormat="false" ht="15" hidden="false" customHeight="false" outlineLevel="0" collapsed="false">
      <c r="A184" s="25"/>
      <c r="B184" s="25"/>
      <c r="C184" s="25"/>
      <c r="D184" s="26"/>
      <c r="E184" s="25"/>
      <c r="F184" s="26"/>
      <c r="G184" s="25"/>
      <c r="H184" s="27"/>
      <c r="I184" s="28"/>
      <c r="J184" s="29" t="n">
        <f aca="false">OR(D184="Sí",D184="Parcial",D184="Implícito")*1+OR(F184="Sí",F184="Parcial",F184="Implícito")*1+OR(H184="Sí",H184="Parcial",H184="Implícito")*1</f>
        <v>0</v>
      </c>
      <c r="K184" s="25"/>
      <c r="L184" s="25"/>
    </row>
    <row r="185" customFormat="false" ht="15" hidden="false" customHeight="false" outlineLevel="0" collapsed="false">
      <c r="A185" s="25"/>
      <c r="B185" s="25"/>
      <c r="C185" s="25"/>
      <c r="D185" s="26"/>
      <c r="E185" s="25"/>
      <c r="F185" s="26"/>
      <c r="G185" s="25"/>
      <c r="H185" s="27"/>
      <c r="I185" s="28"/>
      <c r="J185" s="29" t="n">
        <f aca="false">OR(D185="Sí",D185="Parcial",D185="Implícito")*1+OR(F185="Sí",F185="Parcial",F185="Implícito")*1+OR(H185="Sí",H185="Parcial",H185="Implícito")*1</f>
        <v>0</v>
      </c>
      <c r="K185" s="25"/>
      <c r="L185" s="25"/>
    </row>
    <row r="186" customFormat="false" ht="15" hidden="false" customHeight="false" outlineLevel="0" collapsed="false">
      <c r="A186" s="25"/>
      <c r="B186" s="25"/>
      <c r="C186" s="25"/>
      <c r="D186" s="26"/>
      <c r="E186" s="25"/>
      <c r="F186" s="26"/>
      <c r="G186" s="25"/>
      <c r="H186" s="27"/>
      <c r="I186" s="28"/>
      <c r="J186" s="29" t="n">
        <f aca="false">OR(D186="Sí",D186="Parcial",D186="Implícito")*1+OR(F186="Sí",F186="Parcial",F186="Implícito")*1+OR(H186="Sí",H186="Parcial",H186="Implícito")*1</f>
        <v>0</v>
      </c>
      <c r="K186" s="25"/>
      <c r="L186" s="25"/>
    </row>
    <row r="187" customFormat="false" ht="15" hidden="false" customHeight="false" outlineLevel="0" collapsed="false">
      <c r="A187" s="25"/>
      <c r="B187" s="25"/>
      <c r="C187" s="25"/>
      <c r="D187" s="26"/>
      <c r="E187" s="25"/>
      <c r="F187" s="26"/>
      <c r="G187" s="25"/>
      <c r="H187" s="27"/>
      <c r="I187" s="28"/>
      <c r="J187" s="29" t="n">
        <f aca="false">OR(D187="Sí",D187="Parcial",D187="Implícito")*1+OR(F187="Sí",F187="Parcial",F187="Implícito")*1+OR(H187="Sí",H187="Parcial",H187="Implícito")*1</f>
        <v>0</v>
      </c>
      <c r="K187" s="25"/>
      <c r="L187" s="25"/>
    </row>
    <row r="188" customFormat="false" ht="15" hidden="false" customHeight="false" outlineLevel="0" collapsed="false">
      <c r="A188" s="25"/>
      <c r="B188" s="25"/>
      <c r="C188" s="25"/>
      <c r="D188" s="26"/>
      <c r="E188" s="25"/>
      <c r="F188" s="26"/>
      <c r="G188" s="25"/>
      <c r="H188" s="27"/>
      <c r="I188" s="28"/>
      <c r="J188" s="29" t="n">
        <f aca="false">OR(D188="Sí",D188="Parcial",D188="Implícito")*1+OR(F188="Sí",F188="Parcial",F188="Implícito")*1+OR(H188="Sí",H188="Parcial",H188="Implícito")*1</f>
        <v>0</v>
      </c>
      <c r="K188" s="25"/>
      <c r="L188" s="25"/>
    </row>
    <row r="189" customFormat="false" ht="15" hidden="false" customHeight="false" outlineLevel="0" collapsed="false">
      <c r="A189" s="25"/>
      <c r="B189" s="25"/>
      <c r="C189" s="25"/>
      <c r="D189" s="26"/>
      <c r="E189" s="25"/>
      <c r="F189" s="26"/>
      <c r="G189" s="25"/>
      <c r="H189" s="27"/>
      <c r="I189" s="28"/>
      <c r="J189" s="29" t="n">
        <f aca="false">OR(D189="Sí",D189="Parcial",D189="Implícito")*1+OR(F189="Sí",F189="Parcial",F189="Implícito")*1+OR(H189="Sí",H189="Parcial",H189="Implícito")*1</f>
        <v>0</v>
      </c>
      <c r="K189" s="25"/>
      <c r="L189" s="25"/>
    </row>
    <row r="190" customFormat="false" ht="15" hidden="false" customHeight="false" outlineLevel="0" collapsed="false">
      <c r="A190" s="25"/>
      <c r="B190" s="25"/>
      <c r="C190" s="25"/>
      <c r="D190" s="26"/>
      <c r="E190" s="25"/>
      <c r="F190" s="26"/>
      <c r="G190" s="25"/>
      <c r="H190" s="27"/>
      <c r="I190" s="28"/>
      <c r="J190" s="29" t="n">
        <f aca="false">OR(D190="Sí",D190="Parcial",D190="Implícito")*1+OR(F190="Sí",F190="Parcial",F190="Implícito")*1+OR(H190="Sí",H190="Parcial",H190="Implícito")*1</f>
        <v>0</v>
      </c>
      <c r="K190" s="25"/>
      <c r="L190" s="25"/>
    </row>
    <row r="191" customFormat="false" ht="15" hidden="false" customHeight="false" outlineLevel="0" collapsed="false">
      <c r="A191" s="25"/>
      <c r="B191" s="25"/>
      <c r="C191" s="25"/>
      <c r="D191" s="26"/>
      <c r="E191" s="25"/>
      <c r="F191" s="26"/>
      <c r="G191" s="25"/>
      <c r="H191" s="27"/>
      <c r="I191" s="28"/>
      <c r="J191" s="29" t="n">
        <f aca="false">OR(D191="Sí",D191="Parcial",D191="Implícito")*1+OR(F191="Sí",F191="Parcial",F191="Implícito")*1+OR(H191="Sí",H191="Parcial",H191="Implícito")*1</f>
        <v>0</v>
      </c>
      <c r="K191" s="25"/>
      <c r="L191" s="25"/>
    </row>
    <row r="192" customFormat="false" ht="15" hidden="false" customHeight="false" outlineLevel="0" collapsed="false">
      <c r="A192" s="25"/>
      <c r="B192" s="25"/>
      <c r="C192" s="25"/>
      <c r="D192" s="26"/>
      <c r="E192" s="25"/>
      <c r="F192" s="26"/>
      <c r="G192" s="25"/>
      <c r="H192" s="27"/>
      <c r="I192" s="28"/>
      <c r="J192" s="29" t="n">
        <f aca="false">OR(D192="Sí",D192="Parcial",D192="Implícito")*1+OR(F192="Sí",F192="Parcial",F192="Implícito")*1+OR(H192="Sí",H192="Parcial",H192="Implícito")*1</f>
        <v>0</v>
      </c>
      <c r="K192" s="25"/>
      <c r="L192" s="25"/>
    </row>
    <row r="193" customFormat="false" ht="15" hidden="false" customHeight="false" outlineLevel="0" collapsed="false">
      <c r="A193" s="25"/>
      <c r="B193" s="25"/>
      <c r="C193" s="25"/>
      <c r="D193" s="26"/>
      <c r="E193" s="25"/>
      <c r="F193" s="26"/>
      <c r="G193" s="25"/>
      <c r="H193" s="27"/>
      <c r="I193" s="28"/>
      <c r="J193" s="29" t="n">
        <f aca="false">OR(D193="Sí",D193="Parcial",D193="Implícito")*1+OR(F193="Sí",F193="Parcial",F193="Implícito")*1+OR(H193="Sí",H193="Parcial",H193="Implícito")*1</f>
        <v>0</v>
      </c>
      <c r="K193" s="25"/>
      <c r="L193" s="25"/>
    </row>
    <row r="194" customFormat="false" ht="15" hidden="false" customHeight="false" outlineLevel="0" collapsed="false">
      <c r="A194" s="25"/>
      <c r="B194" s="25"/>
      <c r="C194" s="25"/>
      <c r="D194" s="26"/>
      <c r="E194" s="25"/>
      <c r="F194" s="26"/>
      <c r="G194" s="25"/>
      <c r="H194" s="27"/>
      <c r="I194" s="28"/>
      <c r="J194" s="29" t="n">
        <f aca="false">OR(D194="Sí",D194="Parcial",D194="Implícito")*1+OR(F194="Sí",F194="Parcial",F194="Implícito")*1+OR(H194="Sí",H194="Parcial",H194="Implícito")*1</f>
        <v>0</v>
      </c>
      <c r="K194" s="25"/>
      <c r="L194" s="25"/>
    </row>
    <row r="195" customFormat="false" ht="15" hidden="false" customHeight="false" outlineLevel="0" collapsed="false">
      <c r="A195" s="25"/>
      <c r="B195" s="25"/>
      <c r="C195" s="25"/>
      <c r="D195" s="26"/>
      <c r="E195" s="25"/>
      <c r="F195" s="26"/>
      <c r="G195" s="25"/>
      <c r="H195" s="27"/>
      <c r="I195" s="28"/>
      <c r="J195" s="29" t="n">
        <f aca="false">OR(D195="Sí",D195="Parcial",D195="Implícito")*1+OR(F195="Sí",F195="Parcial",F195="Implícito")*1+OR(H195="Sí",H195="Parcial",H195="Implícito")*1</f>
        <v>0</v>
      </c>
      <c r="K195" s="25"/>
      <c r="L195" s="25"/>
    </row>
    <row r="196" customFormat="false" ht="15" hidden="false" customHeight="false" outlineLevel="0" collapsed="false">
      <c r="A196" s="25"/>
      <c r="B196" s="25"/>
      <c r="C196" s="25"/>
      <c r="D196" s="26"/>
      <c r="E196" s="25"/>
      <c r="F196" s="26"/>
      <c r="G196" s="25"/>
      <c r="H196" s="27"/>
      <c r="I196" s="28"/>
      <c r="J196" s="29" t="n">
        <f aca="false">OR(D196="Sí",D196="Parcial",D196="Implícito")*1+OR(F196="Sí",F196="Parcial",F196="Implícito")*1+OR(H196="Sí",H196="Parcial",H196="Implícito")*1</f>
        <v>0</v>
      </c>
      <c r="K196" s="25"/>
      <c r="L196" s="25"/>
    </row>
    <row r="197" customFormat="false" ht="15" hidden="false" customHeight="false" outlineLevel="0" collapsed="false">
      <c r="A197" s="25"/>
      <c r="B197" s="25"/>
      <c r="C197" s="25"/>
      <c r="D197" s="26"/>
      <c r="E197" s="25"/>
      <c r="F197" s="26"/>
      <c r="G197" s="25"/>
      <c r="H197" s="27"/>
      <c r="I197" s="28"/>
      <c r="J197" s="29" t="n">
        <f aca="false">OR(D197="Sí",D197="Parcial",D197="Implícito")*1+OR(F197="Sí",F197="Parcial",F197="Implícito")*1+OR(H197="Sí",H197="Parcial",H197="Implícito")*1</f>
        <v>0</v>
      </c>
      <c r="K197" s="25"/>
      <c r="L197" s="25"/>
    </row>
    <row r="198" customFormat="false" ht="15" hidden="false" customHeight="false" outlineLevel="0" collapsed="false">
      <c r="A198" s="25"/>
      <c r="B198" s="25"/>
      <c r="C198" s="25"/>
      <c r="D198" s="26"/>
      <c r="E198" s="25"/>
      <c r="F198" s="26"/>
      <c r="G198" s="25"/>
      <c r="H198" s="27"/>
      <c r="I198" s="28"/>
      <c r="J198" s="29" t="n">
        <f aca="false">OR(D198="Sí",D198="Parcial",D198="Implícito")*1+OR(F198="Sí",F198="Parcial",F198="Implícito")*1+OR(H198="Sí",H198="Parcial",H198="Implícito")*1</f>
        <v>0</v>
      </c>
      <c r="K198" s="25"/>
      <c r="L198" s="25"/>
    </row>
    <row r="199" customFormat="false" ht="15" hidden="false" customHeight="false" outlineLevel="0" collapsed="false">
      <c r="A199" s="25"/>
      <c r="B199" s="25"/>
      <c r="C199" s="25"/>
      <c r="D199" s="26"/>
      <c r="E199" s="25"/>
      <c r="F199" s="26"/>
      <c r="G199" s="25"/>
      <c r="H199" s="27"/>
      <c r="I199" s="28"/>
      <c r="J199" s="29" t="n">
        <f aca="false">OR(D199="Sí",D199="Parcial",D199="Implícito")*1+OR(F199="Sí",F199="Parcial",F199="Implícito")*1+OR(H199="Sí",H199="Parcial",H199="Implícito")*1</f>
        <v>0</v>
      </c>
      <c r="K199" s="25"/>
      <c r="L199" s="25"/>
    </row>
    <row r="200" customFormat="false" ht="15" hidden="false" customHeight="false" outlineLevel="0" collapsed="false">
      <c r="A200" s="25"/>
      <c r="B200" s="25"/>
      <c r="C200" s="25"/>
      <c r="D200" s="26"/>
      <c r="E200" s="25"/>
      <c r="F200" s="26"/>
      <c r="G200" s="25"/>
      <c r="H200" s="27"/>
      <c r="I200" s="28"/>
      <c r="J200" s="29" t="n">
        <f aca="false">OR(D200="Sí",D200="Parcial",D200="Implícito")*1+OR(F200="Sí",F200="Parcial",F200="Implícito")*1+OR(H200="Sí",H200="Parcial",H200="Implícito")*1</f>
        <v>0</v>
      </c>
      <c r="K200" s="25"/>
      <c r="L200" s="25"/>
    </row>
  </sheetData>
  <autoFilter ref="A5:L55"/>
  <mergeCells count="5">
    <mergeCell ref="A4:C4"/>
    <mergeCell ref="D4:E4"/>
    <mergeCell ref="F4:G4"/>
    <mergeCell ref="H4:I4"/>
    <mergeCell ref="J4:L4"/>
  </mergeCells>
  <conditionalFormatting sqref="D6:D200">
    <cfRule type="cellIs" priority="2" operator="equal" aboveAverage="0" equalAverage="0" bottom="0" percent="0" rank="0" text="" dxfId="14">
      <formula>"Sí"</formula>
    </cfRule>
    <cfRule type="cellIs" priority="3" operator="equal" aboveAverage="0" equalAverage="0" bottom="0" percent="0" rank="0" text="" dxfId="15">
      <formula>"Parcial"</formula>
    </cfRule>
    <cfRule type="cellIs" priority="4" operator="equal" aboveAverage="0" equalAverage="0" bottom="0" percent="0" rank="0" text="" dxfId="15">
      <formula>"Implícito"</formula>
    </cfRule>
    <cfRule type="cellIs" priority="5" operator="equal" aboveAverage="0" equalAverage="0" bottom="0" percent="0" rank="0" text="" dxfId="16">
      <formula>"No"</formula>
    </cfRule>
  </conditionalFormatting>
  <conditionalFormatting sqref="F6:F200">
    <cfRule type="cellIs" priority="6" operator="equal" aboveAverage="0" equalAverage="0" bottom="0" percent="0" rank="0" text="" dxfId="14">
      <formula>"Sí"</formula>
    </cfRule>
    <cfRule type="cellIs" priority="7" operator="equal" aboveAverage="0" equalAverage="0" bottom="0" percent="0" rank="0" text="" dxfId="15">
      <formula>"Parcial"</formula>
    </cfRule>
    <cfRule type="cellIs" priority="8" operator="equal" aboveAverage="0" equalAverage="0" bottom="0" percent="0" rank="0" text="" dxfId="15">
      <formula>"Implícito"</formula>
    </cfRule>
    <cfRule type="cellIs" priority="9" operator="equal" aboveAverage="0" equalAverage="0" bottom="0" percent="0" rank="0" text="" dxfId="16">
      <formula>"No"</formula>
    </cfRule>
  </conditionalFormatting>
  <conditionalFormatting sqref="H6:H200">
    <cfRule type="cellIs" priority="10" operator="equal" aboveAverage="0" equalAverage="0" bottom="0" percent="0" rank="0" text="" dxfId="14">
      <formula>"Sí"</formula>
    </cfRule>
    <cfRule type="cellIs" priority="11" operator="equal" aboveAverage="0" equalAverage="0" bottom="0" percent="0" rank="0" text="" dxfId="15">
      <formula>"Parcial"</formula>
    </cfRule>
    <cfRule type="cellIs" priority="12" operator="equal" aboveAverage="0" equalAverage="0" bottom="0" percent="0" rank="0" text="" dxfId="15">
      <formula>"Implícito"</formula>
    </cfRule>
    <cfRule type="cellIs" priority="13" operator="equal" aboveAverage="0" equalAverage="0" bottom="0" percent="0" rank="0" text="" dxfId="16">
      <formula>"No"</formula>
    </cfRule>
  </conditionalFormatting>
  <conditionalFormatting sqref="J6:J55">
    <cfRule type="cellIs" priority="14" operator="equal" aboveAverage="0" equalAverage="0" bottom="0" percent="0" rank="0" text="" dxfId="17">
      <formula>1</formula>
    </cfRule>
  </conditionalFormatting>
  <dataValidations count="1">
    <dataValidation allowBlank="true" error="Usá: Sí, Parcial, Implícito o No" errorStyle="stop" errorTitle="Estado no válido" operator="between" showDropDown="false" showErrorMessage="false" showInputMessage="false" sqref="D6:D200 F6:F200 H6:H200" type="list">
      <formula1>"Sí,Parcial,Implícito,No"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6" min="4" style="0" width="12"/>
  </cols>
  <sheetData>
    <row r="1" customFormat="false" ht="17.3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15" hidden="false" customHeight="false" outlineLevel="0" collapsed="false">
      <c r="A4" s="30" t="s">
        <v>251</v>
      </c>
    </row>
    <row r="5" customFormat="false" ht="15" hidden="false" customHeight="false" outlineLevel="0" collapsed="false">
      <c r="A5" s="8" t="s">
        <v>8</v>
      </c>
      <c r="B5" s="8" t="s">
        <v>252</v>
      </c>
      <c r="C5" s="9" t="s">
        <v>253</v>
      </c>
      <c r="D5" s="10" t="s">
        <v>254</v>
      </c>
      <c r="E5" s="11" t="s">
        <v>255</v>
      </c>
    </row>
    <row r="6" customFormat="false" ht="15" hidden="false" customHeight="false" outlineLevel="0" collapsed="false">
      <c r="A6" s="31" t="s">
        <v>16</v>
      </c>
      <c r="B6" s="32" t="n">
        <f aca="false">COUNTIF(Matriz!$B$6:$B$200,$A6)</f>
        <v>9</v>
      </c>
      <c r="C6" s="32" t="n">
        <f aca="false">COUNTIFS(Matriz!$B$6:$B$200,$A6,Matriz!$D$6:$D$200,"Sí")+COUNTIFS(Matriz!$B$6:$B$200,$A6,Matriz!$D$6:$D$200,"Parcial")+COUNTIFS(Matriz!$B$6:$B$200,$A6,Matriz!$D$6:$D$200,"Implícito")</f>
        <v>5</v>
      </c>
      <c r="D6" s="32" t="n">
        <f aca="false">COUNTIFS(Matriz!$B$6:$B$200,$A6,Matriz!$F$6:$F$200,"Sí")+COUNTIFS(Matriz!$B$6:$B$200,$A6,Matriz!$F$6:$F$200,"Parcial")+COUNTIFS(Matriz!$B$6:$B$200,$A6,Matriz!$F$6:$F$200,"Implícito")</f>
        <v>7</v>
      </c>
      <c r="E6" s="32" t="n">
        <f aca="false">COUNTIFS(Matriz!$B$6:$B$200,$A6,Matriz!$H$6:$H$200,"Sí")+COUNTIFS(Matriz!$B$6:$B$200,$A6,Matriz!$H$6:$H$200,"Parcial")+COUNTIFS(Matriz!$B$6:$B$200,$A6,Matriz!$H$6:$H$200,"Implícito")</f>
        <v>0</v>
      </c>
    </row>
    <row r="7" customFormat="false" ht="15" hidden="false" customHeight="false" outlineLevel="0" collapsed="false">
      <c r="A7" s="31" t="s">
        <v>61</v>
      </c>
      <c r="B7" s="32" t="n">
        <f aca="false">COUNTIF(Matriz!$B$6:$B$200,$A7)</f>
        <v>12</v>
      </c>
      <c r="C7" s="32" t="n">
        <f aca="false">COUNTIFS(Matriz!$B$6:$B$200,$A7,Matriz!$D$6:$D$200,"Sí")+COUNTIFS(Matriz!$B$6:$B$200,$A7,Matriz!$D$6:$D$200,"Parcial")+COUNTIFS(Matriz!$B$6:$B$200,$A7,Matriz!$D$6:$D$200,"Implícito")</f>
        <v>10</v>
      </c>
      <c r="D7" s="32" t="n">
        <f aca="false">COUNTIFS(Matriz!$B$6:$B$200,$A7,Matriz!$F$6:$F$200,"Sí")+COUNTIFS(Matriz!$B$6:$B$200,$A7,Matriz!$F$6:$F$200,"Parcial")+COUNTIFS(Matriz!$B$6:$B$200,$A7,Matriz!$F$6:$F$200,"Implícito")</f>
        <v>9</v>
      </c>
      <c r="E7" s="32" t="n">
        <f aca="false">COUNTIFS(Matriz!$B$6:$B$200,$A7,Matriz!$H$6:$H$200,"Sí")+COUNTIFS(Matriz!$B$6:$B$200,$A7,Matriz!$H$6:$H$200,"Parcial")+COUNTIFS(Matriz!$B$6:$B$200,$A7,Matriz!$H$6:$H$200,"Implícito")</f>
        <v>0</v>
      </c>
    </row>
    <row r="8" customFormat="false" ht="15" hidden="false" customHeight="false" outlineLevel="0" collapsed="false">
      <c r="A8" s="31" t="s">
        <v>119</v>
      </c>
      <c r="B8" s="32" t="n">
        <f aca="false">COUNTIF(Matriz!$B$6:$B$200,$A8)</f>
        <v>1</v>
      </c>
      <c r="C8" s="32" t="n">
        <f aca="false">COUNTIFS(Matriz!$B$6:$B$200,$A8,Matriz!$D$6:$D$200,"Sí")+COUNTIFS(Matriz!$B$6:$B$200,$A8,Matriz!$D$6:$D$200,"Parcial")+COUNTIFS(Matriz!$B$6:$B$200,$A8,Matriz!$D$6:$D$200,"Implícito")</f>
        <v>0</v>
      </c>
      <c r="D8" s="32" t="n">
        <f aca="false">COUNTIFS(Matriz!$B$6:$B$200,$A8,Matriz!$F$6:$F$200,"Sí")+COUNTIFS(Matriz!$B$6:$B$200,$A8,Matriz!$F$6:$F$200,"Parcial")+COUNTIFS(Matriz!$B$6:$B$200,$A8,Matriz!$F$6:$F$200,"Implícito")</f>
        <v>1</v>
      </c>
      <c r="E8" s="32" t="n">
        <f aca="false">COUNTIFS(Matriz!$B$6:$B$200,$A8,Matriz!$H$6:$H$200,"Sí")+COUNTIFS(Matriz!$B$6:$B$200,$A8,Matriz!$H$6:$H$200,"Parcial")+COUNTIFS(Matriz!$B$6:$B$200,$A8,Matriz!$H$6:$H$200,"Implícito")</f>
        <v>0</v>
      </c>
    </row>
    <row r="9" customFormat="false" ht="15" hidden="false" customHeight="false" outlineLevel="0" collapsed="false">
      <c r="A9" s="31" t="s">
        <v>125</v>
      </c>
      <c r="B9" s="32" t="n">
        <f aca="false">COUNTIF(Matriz!$B$6:$B$200,$A9)</f>
        <v>3</v>
      </c>
      <c r="C9" s="32" t="n">
        <f aca="false">COUNTIFS(Matriz!$B$6:$B$200,$A9,Matriz!$D$6:$D$200,"Sí")+COUNTIFS(Matriz!$B$6:$B$200,$A9,Matriz!$D$6:$D$200,"Parcial")+COUNTIFS(Matriz!$B$6:$B$200,$A9,Matriz!$D$6:$D$200,"Implícito")</f>
        <v>0</v>
      </c>
      <c r="D9" s="32" t="n">
        <f aca="false">COUNTIFS(Matriz!$B$6:$B$200,$A9,Matriz!$F$6:$F$200,"Sí")+COUNTIFS(Matriz!$B$6:$B$200,$A9,Matriz!$F$6:$F$200,"Parcial")+COUNTIFS(Matriz!$B$6:$B$200,$A9,Matriz!$F$6:$F$200,"Implícito")</f>
        <v>3</v>
      </c>
      <c r="E9" s="32" t="n">
        <f aca="false">COUNTIFS(Matriz!$B$6:$B$200,$A9,Matriz!$H$6:$H$200,"Sí")+COUNTIFS(Matriz!$B$6:$B$200,$A9,Matriz!$H$6:$H$200,"Parcial")+COUNTIFS(Matriz!$B$6:$B$200,$A9,Matriz!$H$6:$H$200,"Implícito")</f>
        <v>0</v>
      </c>
    </row>
    <row r="10" customFormat="false" ht="15" hidden="false" customHeight="false" outlineLevel="0" collapsed="false">
      <c r="A10" s="31" t="s">
        <v>139</v>
      </c>
      <c r="B10" s="32" t="n">
        <f aca="false">COUNTIF(Matriz!$B$6:$B$200,$A10)</f>
        <v>13</v>
      </c>
      <c r="C10" s="32" t="n">
        <f aca="false">COUNTIFS(Matriz!$B$6:$B$200,$A10,Matriz!$D$6:$D$200,"Sí")+COUNTIFS(Matriz!$B$6:$B$200,$A10,Matriz!$D$6:$D$200,"Parcial")+COUNTIFS(Matriz!$B$6:$B$200,$A10,Matriz!$D$6:$D$200,"Implícito")</f>
        <v>12</v>
      </c>
      <c r="D10" s="32" t="n">
        <f aca="false">COUNTIFS(Matriz!$B$6:$B$200,$A10,Matriz!$F$6:$F$200,"Sí")+COUNTIFS(Matriz!$B$6:$B$200,$A10,Matriz!$F$6:$F$200,"Parcial")+COUNTIFS(Matriz!$B$6:$B$200,$A10,Matriz!$F$6:$F$200,"Implícito")</f>
        <v>10</v>
      </c>
      <c r="E10" s="32" t="n">
        <f aca="false">COUNTIFS(Matriz!$B$6:$B$200,$A10,Matriz!$H$6:$H$200,"Sí")+COUNTIFS(Matriz!$B$6:$B$200,$A10,Matriz!$H$6:$H$200,"Parcial")+COUNTIFS(Matriz!$B$6:$B$200,$A10,Matriz!$H$6:$H$200,"Implícito")</f>
        <v>0</v>
      </c>
    </row>
    <row r="11" customFormat="false" ht="15" hidden="false" customHeight="false" outlineLevel="0" collapsed="false">
      <c r="A11" s="31" t="s">
        <v>198</v>
      </c>
      <c r="B11" s="32" t="n">
        <f aca="false">COUNTIF(Matriz!$B$6:$B$200,$A11)</f>
        <v>7</v>
      </c>
      <c r="C11" s="32" t="n">
        <f aca="false">COUNTIFS(Matriz!$B$6:$B$200,$A11,Matriz!$D$6:$D$200,"Sí")+COUNTIFS(Matriz!$B$6:$B$200,$A11,Matriz!$D$6:$D$200,"Parcial")+COUNTIFS(Matriz!$B$6:$B$200,$A11,Matriz!$D$6:$D$200,"Implícito")</f>
        <v>7</v>
      </c>
      <c r="D11" s="32" t="n">
        <f aca="false">COUNTIFS(Matriz!$B$6:$B$200,$A11,Matriz!$F$6:$F$200,"Sí")+COUNTIFS(Matriz!$B$6:$B$200,$A11,Matriz!$F$6:$F$200,"Parcial")+COUNTIFS(Matriz!$B$6:$B$200,$A11,Matriz!$F$6:$F$200,"Implícito")</f>
        <v>2</v>
      </c>
      <c r="E11" s="32" t="n">
        <f aca="false">COUNTIFS(Matriz!$B$6:$B$200,$A11,Matriz!$H$6:$H$200,"Sí")+COUNTIFS(Matriz!$B$6:$B$200,$A11,Matriz!$H$6:$H$200,"Parcial")+COUNTIFS(Matriz!$B$6:$B$200,$A11,Matriz!$H$6:$H$200,"Implícito")</f>
        <v>0</v>
      </c>
    </row>
    <row r="12" customFormat="false" ht="15" hidden="false" customHeight="false" outlineLevel="0" collapsed="false">
      <c r="A12" s="31" t="s">
        <v>229</v>
      </c>
      <c r="B12" s="32" t="n">
        <f aca="false">COUNTIF(Matriz!$B$6:$B$200,$A12)</f>
        <v>5</v>
      </c>
      <c r="C12" s="32" t="n">
        <f aca="false">COUNTIFS(Matriz!$B$6:$B$200,$A12,Matriz!$D$6:$D$200,"Sí")+COUNTIFS(Matriz!$B$6:$B$200,$A12,Matriz!$D$6:$D$200,"Parcial")+COUNTIFS(Matriz!$B$6:$B$200,$A12,Matriz!$D$6:$D$200,"Implícito")</f>
        <v>5</v>
      </c>
      <c r="D12" s="32" t="n">
        <f aca="false">COUNTIFS(Matriz!$B$6:$B$200,$A12,Matriz!$F$6:$F$200,"Sí")+COUNTIFS(Matriz!$B$6:$B$200,$A12,Matriz!$F$6:$F$200,"Parcial")+COUNTIFS(Matriz!$B$6:$B$200,$A12,Matriz!$F$6:$F$200,"Implícito")</f>
        <v>2</v>
      </c>
      <c r="E12" s="32" t="n">
        <f aca="false">COUNTIFS(Matriz!$B$6:$B$200,$A12,Matriz!$H$6:$H$200,"Sí")+COUNTIFS(Matriz!$B$6:$B$200,$A12,Matriz!$H$6:$H$200,"Parcial")+COUNTIFS(Matriz!$B$6:$B$200,$A12,Matriz!$H$6:$H$200,"Implícito")</f>
        <v>0</v>
      </c>
    </row>
    <row r="13" customFormat="false" ht="15" hidden="false" customHeight="false" outlineLevel="0" collapsed="false">
      <c r="A13" s="33" t="s">
        <v>256</v>
      </c>
      <c r="B13" s="34" t="n">
        <f aca="false">SUM(B6:B12)</f>
        <v>50</v>
      </c>
      <c r="C13" s="34" t="n">
        <f aca="false">SUM(C6:C12)</f>
        <v>39</v>
      </c>
      <c r="D13" s="34" t="n">
        <f aca="false">SUM(D6:D12)</f>
        <v>34</v>
      </c>
      <c r="E13" s="34" t="n">
        <f aca="false">SUM(E6:E12)</f>
        <v>0</v>
      </c>
    </row>
    <row r="15" customFormat="false" ht="15" hidden="false" customHeight="false" outlineLevel="0" collapsed="false">
      <c r="A15" s="30" t="s">
        <v>257</v>
      </c>
    </row>
    <row r="16" customFormat="false" ht="15" hidden="false" customHeight="false" outlineLevel="0" collapsed="false">
      <c r="A16" s="8" t="s">
        <v>258</v>
      </c>
      <c r="B16" s="8" t="s">
        <v>259</v>
      </c>
    </row>
    <row r="17" customFormat="false" ht="15" hidden="false" customHeight="false" outlineLevel="0" collapsed="false">
      <c r="A17" s="31" t="s">
        <v>260</v>
      </c>
      <c r="B17" s="32" t="n">
        <f aca="false">SUMPRODUCT(((Matriz!$D$6:$D$200="Sí")+(Matriz!$D$6:$D$200="Parcial")+(Matriz!$D$6:$D$200="Implícito"))*((Matriz!$F$6:$F$200="Sí")+(Matriz!$F$6:$F$200="Parcial")+(Matriz!$F$6:$F$200="Implícito")))</f>
        <v>23</v>
      </c>
    </row>
    <row r="18" customFormat="false" ht="15" hidden="false" customHeight="false" outlineLevel="0" collapsed="false">
      <c r="A18" s="31" t="s">
        <v>261</v>
      </c>
      <c r="B18" s="32" t="n">
        <f aca="false">SUMPRODUCT(((Matriz!$D$6:$D$200="Sí")+(Matriz!$D$6:$D$200="Parcial")+(Matriz!$D$6:$D$200="Implícito"))*(Matriz!$F$6:$F$200="No"))</f>
        <v>16</v>
      </c>
    </row>
    <row r="19" customFormat="false" ht="15" hidden="false" customHeight="false" outlineLevel="0" collapsed="false">
      <c r="A19" s="31" t="s">
        <v>262</v>
      </c>
      <c r="B19" s="32" t="n">
        <f aca="false">SUMPRODUCT((Matriz!$D$6:$D$200="No")*((Matriz!$F$6:$F$200="Sí")+(Matriz!$F$6:$F$200="Parcial")+(Matriz!$F$6:$F$200="Implícito")))</f>
        <v>11</v>
      </c>
    </row>
    <row r="20" customFormat="false" ht="15" hidden="false" customHeight="false" outlineLevel="0" collapsed="false">
      <c r="A20" s="31" t="s">
        <v>263</v>
      </c>
      <c r="B20" s="32" t="n">
        <f aca="false">SUMPRODUCT((Matriz!$D$6:$D$200="Sí")*(Matriz!$F$6:$F$200="Sí"))</f>
        <v>18</v>
      </c>
    </row>
    <row r="21" customFormat="false" ht="15" hidden="false" customHeight="false" outlineLevel="0" collapsed="false">
      <c r="A21" s="35" t="s">
        <v>264</v>
      </c>
    </row>
    <row r="23" customFormat="false" ht="15" hidden="false" customHeight="false" outlineLevel="0" collapsed="false">
      <c r="A23" s="30" t="s">
        <v>265</v>
      </c>
    </row>
    <row r="24" customFormat="false" ht="15" hidden="false" customHeight="false" outlineLevel="0" collapsed="false">
      <c r="A24" s="35" t="s">
        <v>266</v>
      </c>
    </row>
    <row r="25" customFormat="false" ht="15" hidden="false" customHeight="false" outlineLevel="0" collapsed="false">
      <c r="A25" s="8" t="s">
        <v>267</v>
      </c>
      <c r="B25" s="8" t="s">
        <v>268</v>
      </c>
      <c r="C25" s="8" t="s">
        <v>7</v>
      </c>
      <c r="D25" s="9" t="s">
        <v>253</v>
      </c>
      <c r="E25" s="10" t="s">
        <v>254</v>
      </c>
      <c r="F25" s="11" t="s">
        <v>255</v>
      </c>
    </row>
    <row r="26" customFormat="false" ht="15" hidden="false" customHeight="false" outlineLevel="0" collapsed="false">
      <c r="A26" s="36" t="s">
        <v>269</v>
      </c>
      <c r="B26" s="36" t="s">
        <v>270</v>
      </c>
      <c r="C26" s="37" t="s">
        <v>65</v>
      </c>
      <c r="D26" s="38" t="str">
        <f aca="false">IFERROR(IF(INDEX(Matriz!$D$6:$D$200,MATCH($C26,Matriz!$A$6:$A$200,0))="","",INDEX(Matriz!$D$6:$D$200,MATCH($C26,Matriz!$A$6:$A$200,0))),"")</f>
        <v>Sí</v>
      </c>
      <c r="E26" s="38" t="str">
        <f aca="false">IFERROR(IF(INDEX(Matriz!$F$6:$F$200,MATCH($C26,Matriz!$A$6:$A$200,0))="","",INDEX(Matriz!$F$6:$F$200,MATCH($C26,Matriz!$A$6:$A$200,0))),"")</f>
        <v>Sí</v>
      </c>
      <c r="F26" s="38" t="str">
        <f aca="false">IFERROR(IF(INDEX(Matriz!$H$6:$H$200,MATCH($C26,Matriz!$A$6:$A$200,0))="","",INDEX(Matriz!$H$6:$H$200,MATCH($C26,Matriz!$A$6:$A$200,0))),"")</f>
        <v/>
      </c>
    </row>
    <row r="27" customFormat="false" ht="15" hidden="false" customHeight="false" outlineLevel="0" collapsed="false">
      <c r="A27" s="36" t="s">
        <v>271</v>
      </c>
      <c r="B27" s="36" t="s">
        <v>270</v>
      </c>
      <c r="C27" s="37" t="s">
        <v>74</v>
      </c>
      <c r="D27" s="38" t="str">
        <f aca="false">IFERROR(IF(INDEX(Matriz!$D$6:$D$200,MATCH($C27,Matriz!$A$6:$A$200,0))="","",INDEX(Matriz!$D$6:$D$200,MATCH($C27,Matriz!$A$6:$A$200,0))),"")</f>
        <v>Sí</v>
      </c>
      <c r="E27" s="38" t="str">
        <f aca="false">IFERROR(IF(INDEX(Matriz!$F$6:$F$200,MATCH($C27,Matriz!$A$6:$A$200,0))="","",INDEX(Matriz!$F$6:$F$200,MATCH($C27,Matriz!$A$6:$A$200,0))),"")</f>
        <v>Implícito</v>
      </c>
      <c r="F27" s="38" t="str">
        <f aca="false">IFERROR(IF(INDEX(Matriz!$H$6:$H$200,MATCH($C27,Matriz!$A$6:$A$200,0))="","",INDEX(Matriz!$H$6:$H$200,MATCH($C27,Matriz!$A$6:$A$200,0))),"")</f>
        <v/>
      </c>
    </row>
    <row r="28" customFormat="false" ht="15" hidden="false" customHeight="false" outlineLevel="0" collapsed="false">
      <c r="A28" s="36" t="s">
        <v>272</v>
      </c>
      <c r="B28" s="36" t="s">
        <v>270</v>
      </c>
      <c r="C28" s="37" t="s">
        <v>81</v>
      </c>
      <c r="D28" s="38" t="str">
        <f aca="false">IFERROR(IF(INDEX(Matriz!$D$6:$D$200,MATCH($C28,Matriz!$A$6:$A$200,0))="","",INDEX(Matriz!$D$6:$D$200,MATCH($C28,Matriz!$A$6:$A$200,0))),"")</f>
        <v>Sí</v>
      </c>
      <c r="E28" s="38" t="str">
        <f aca="false">IFERROR(IF(INDEX(Matriz!$F$6:$F$200,MATCH($C28,Matriz!$A$6:$A$200,0))="","",INDEX(Matriz!$F$6:$F$200,MATCH($C28,Matriz!$A$6:$A$200,0))),"")</f>
        <v>Sí</v>
      </c>
      <c r="F28" s="38" t="str">
        <f aca="false">IFERROR(IF(INDEX(Matriz!$H$6:$H$200,MATCH($C28,Matriz!$A$6:$A$200,0))="","",INDEX(Matriz!$H$6:$H$200,MATCH($C28,Matriz!$A$6:$A$200,0))),"")</f>
        <v/>
      </c>
    </row>
    <row r="29" customFormat="false" ht="15" hidden="false" customHeight="false" outlineLevel="0" collapsed="false">
      <c r="A29" s="36" t="s">
        <v>273</v>
      </c>
      <c r="B29" s="36" t="s">
        <v>270</v>
      </c>
      <c r="C29" s="37" t="s">
        <v>92</v>
      </c>
      <c r="D29" s="38" t="str">
        <f aca="false">IFERROR(IF(INDEX(Matriz!$D$6:$D$200,MATCH($C29,Matriz!$A$6:$A$200,0))="","",INDEX(Matriz!$D$6:$D$200,MATCH($C29,Matriz!$A$6:$A$200,0))),"")</f>
        <v>Sí</v>
      </c>
      <c r="E29" s="38" t="str">
        <f aca="false">IFERROR(IF(INDEX(Matriz!$F$6:$F$200,MATCH($C29,Matriz!$A$6:$A$200,0))="","",INDEX(Matriz!$F$6:$F$200,MATCH($C29,Matriz!$A$6:$A$200,0))),"")</f>
        <v>Sí</v>
      </c>
      <c r="F29" s="38" t="str">
        <f aca="false">IFERROR(IF(INDEX(Matriz!$H$6:$H$200,MATCH($C29,Matriz!$A$6:$A$200,0))="","",INDEX(Matriz!$H$6:$H$200,MATCH($C29,Matriz!$A$6:$A$200,0))),"")</f>
        <v/>
      </c>
    </row>
    <row r="30" customFormat="false" ht="15" hidden="false" customHeight="false" outlineLevel="0" collapsed="false">
      <c r="A30" s="36" t="s">
        <v>274</v>
      </c>
      <c r="B30" s="36" t="s">
        <v>270</v>
      </c>
      <c r="C30" s="37" t="s">
        <v>101</v>
      </c>
      <c r="D30" s="38" t="str">
        <f aca="false">IFERROR(IF(INDEX(Matriz!$D$6:$D$200,MATCH($C30,Matriz!$A$6:$A$200,0))="","",INDEX(Matriz!$D$6:$D$200,MATCH($C30,Matriz!$A$6:$A$200,0))),"")</f>
        <v>Sí</v>
      </c>
      <c r="E30" s="38" t="str">
        <f aca="false">IFERROR(IF(INDEX(Matriz!$F$6:$F$200,MATCH($C30,Matriz!$A$6:$A$200,0))="","",INDEX(Matriz!$F$6:$F$200,MATCH($C30,Matriz!$A$6:$A$200,0))),"")</f>
        <v>No</v>
      </c>
      <c r="F30" s="38" t="str">
        <f aca="false">IFERROR(IF(INDEX(Matriz!$H$6:$H$200,MATCH($C30,Matriz!$A$6:$A$200,0))="","",INDEX(Matriz!$H$6:$H$200,MATCH($C30,Matriz!$A$6:$A$200,0))),"")</f>
        <v/>
      </c>
    </row>
    <row r="31" customFormat="false" ht="15" hidden="false" customHeight="false" outlineLevel="0" collapsed="false">
      <c r="A31" s="36" t="s">
        <v>275</v>
      </c>
      <c r="B31" s="36" t="s">
        <v>270</v>
      </c>
      <c r="C31" s="37" t="s">
        <v>159</v>
      </c>
      <c r="D31" s="38" t="str">
        <f aca="false">IFERROR(IF(INDEX(Matriz!$D$6:$D$200,MATCH($C31,Matriz!$A$6:$A$200,0))="","",INDEX(Matriz!$D$6:$D$200,MATCH($C31,Matriz!$A$6:$A$200,0))),"")</f>
        <v>Sí</v>
      </c>
      <c r="E31" s="38" t="str">
        <f aca="false">IFERROR(IF(INDEX(Matriz!$F$6:$F$200,MATCH($C31,Matriz!$A$6:$A$200,0))="","",INDEX(Matriz!$F$6:$F$200,MATCH($C31,Matriz!$A$6:$A$200,0))),"")</f>
        <v>Sí</v>
      </c>
      <c r="F31" s="38" t="str">
        <f aca="false">IFERROR(IF(INDEX(Matriz!$H$6:$H$200,MATCH($C31,Matriz!$A$6:$A$200,0))="","",INDEX(Matriz!$H$6:$H$200,MATCH($C31,Matriz!$A$6:$A$200,0))),"")</f>
        <v/>
      </c>
    </row>
    <row r="32" customFormat="false" ht="15" hidden="false" customHeight="false" outlineLevel="0" collapsed="false">
      <c r="A32" s="36" t="s">
        <v>23</v>
      </c>
      <c r="B32" s="36" t="s">
        <v>276</v>
      </c>
      <c r="C32" s="37" t="s">
        <v>22</v>
      </c>
      <c r="D32" s="38" t="str">
        <f aca="false">IFERROR(IF(INDEX(Matriz!$D$6:$D$200,MATCH($C32,Matriz!$A$6:$A$200,0))="","",INDEX(Matriz!$D$6:$D$200,MATCH($C32,Matriz!$A$6:$A$200,0))),"")</f>
        <v>Sí</v>
      </c>
      <c r="E32" s="38" t="str">
        <f aca="false">IFERROR(IF(INDEX(Matriz!$F$6:$F$200,MATCH($C32,Matriz!$A$6:$A$200,0))="","",INDEX(Matriz!$F$6:$F$200,MATCH($C32,Matriz!$A$6:$A$200,0))),"")</f>
        <v>Sí</v>
      </c>
      <c r="F32" s="38" t="str">
        <f aca="false">IFERROR(IF(INDEX(Matriz!$H$6:$H$200,MATCH($C32,Matriz!$A$6:$A$200,0))="","",INDEX(Matriz!$H$6:$H$200,MATCH($C32,Matriz!$A$6:$A$200,0))),"")</f>
        <v/>
      </c>
    </row>
    <row r="33" customFormat="false" ht="15" hidden="false" customHeight="false" outlineLevel="0" collapsed="false">
      <c r="A33" s="36" t="s">
        <v>277</v>
      </c>
      <c r="B33" s="36" t="s">
        <v>276</v>
      </c>
      <c r="C33" s="37" t="s">
        <v>208</v>
      </c>
      <c r="D33" s="38" t="str">
        <f aca="false">IFERROR(IF(INDEX(Matriz!$D$6:$D$200,MATCH($C33,Matriz!$A$6:$A$200,0))="","",INDEX(Matriz!$D$6:$D$200,MATCH($C33,Matriz!$A$6:$A$200,0))),"")</f>
        <v>Sí</v>
      </c>
      <c r="E33" s="38" t="str">
        <f aca="false">IFERROR(IF(INDEX(Matriz!$F$6:$F$200,MATCH($C33,Matriz!$A$6:$A$200,0))="","",INDEX(Matriz!$F$6:$F$200,MATCH($C33,Matriz!$A$6:$A$200,0))),"")</f>
        <v>No</v>
      </c>
      <c r="F33" s="38" t="str">
        <f aca="false">IFERROR(IF(INDEX(Matriz!$H$6:$H$200,MATCH($C33,Matriz!$A$6:$A$200,0))="","",INDEX(Matriz!$H$6:$H$200,MATCH($C33,Matriz!$A$6:$A$200,0))),"")</f>
        <v/>
      </c>
    </row>
    <row r="34" customFormat="false" ht="15" hidden="false" customHeight="false" outlineLevel="0" collapsed="false">
      <c r="A34" s="36" t="s">
        <v>278</v>
      </c>
      <c r="B34" s="36" t="s">
        <v>276</v>
      </c>
      <c r="C34" s="37" t="s">
        <v>86</v>
      </c>
      <c r="D34" s="38" t="str">
        <f aca="false">IFERROR(IF(INDEX(Matriz!$D$6:$D$200,MATCH($C34,Matriz!$A$6:$A$200,0))="","",INDEX(Matriz!$D$6:$D$200,MATCH($C34,Matriz!$A$6:$A$200,0))),"")</f>
        <v>Sí</v>
      </c>
      <c r="E34" s="38" t="str">
        <f aca="false">IFERROR(IF(INDEX(Matriz!$F$6:$F$200,MATCH($C34,Matriz!$A$6:$A$200,0))="","",INDEX(Matriz!$F$6:$F$200,MATCH($C34,Matriz!$A$6:$A$200,0))),"")</f>
        <v>Sí</v>
      </c>
      <c r="F34" s="38" t="str">
        <f aca="false">IFERROR(IF(INDEX(Matriz!$H$6:$H$200,MATCH($C34,Matriz!$A$6:$A$200,0))="","",INDEX(Matriz!$H$6:$H$200,MATCH($C34,Matriz!$A$6:$A$200,0))),"")</f>
        <v/>
      </c>
    </row>
    <row r="35" customFormat="false" ht="15" hidden="false" customHeight="false" outlineLevel="0" collapsed="false">
      <c r="A35" s="36" t="s">
        <v>44</v>
      </c>
      <c r="B35" s="36" t="s">
        <v>46</v>
      </c>
      <c r="C35" s="37" t="s">
        <v>43</v>
      </c>
      <c r="D35" s="38" t="str">
        <f aca="false">IFERROR(IF(INDEX(Matriz!$D$6:$D$200,MATCH($C35,Matriz!$A$6:$A$200,0))="","",INDEX(Matriz!$D$6:$D$200,MATCH($C35,Matriz!$A$6:$A$200,0))),"")</f>
        <v>No</v>
      </c>
      <c r="E35" s="38" t="str">
        <f aca="false">IFERROR(IF(INDEX(Matriz!$F$6:$F$200,MATCH($C35,Matriz!$A$6:$A$200,0))="","",INDEX(Matriz!$F$6:$F$200,MATCH($C35,Matriz!$A$6:$A$200,0))),"")</f>
        <v>Sí</v>
      </c>
      <c r="F35" s="38" t="str">
        <f aca="false">IFERROR(IF(INDEX(Matriz!$H$6:$H$200,MATCH($C35,Matriz!$A$6:$A$200,0))="","",INDEX(Matriz!$H$6:$H$200,MATCH($C35,Matriz!$A$6:$A$200,0))),"")</f>
        <v/>
      </c>
    </row>
    <row r="36" customFormat="false" ht="15" hidden="false" customHeight="false" outlineLevel="0" collapsed="false">
      <c r="A36" s="36" t="s">
        <v>279</v>
      </c>
      <c r="B36" s="36" t="s">
        <v>32</v>
      </c>
      <c r="C36" s="37" t="s">
        <v>27</v>
      </c>
      <c r="D36" s="38" t="str">
        <f aca="false">IFERROR(IF(INDEX(Matriz!$D$6:$D$200,MATCH($C36,Matriz!$A$6:$A$200,0))="","",INDEX(Matriz!$D$6:$D$200,MATCH($C36,Matriz!$A$6:$A$200,0))),"")</f>
        <v>Sí</v>
      </c>
      <c r="E36" s="38" t="str">
        <f aca="false">IFERROR(IF(INDEX(Matriz!$F$6:$F$200,MATCH($C36,Matriz!$A$6:$A$200,0))="","",INDEX(Matriz!$F$6:$F$200,MATCH($C36,Matriz!$A$6:$A$200,0))),"")</f>
        <v>No</v>
      </c>
      <c r="F36" s="38" t="str">
        <f aca="false">IFERROR(IF(INDEX(Matriz!$H$6:$H$200,MATCH($C36,Matriz!$A$6:$A$200,0))="","",INDEX(Matriz!$H$6:$H$200,MATCH($C36,Matriz!$A$6:$A$200,0))),"")</f>
        <v/>
      </c>
    </row>
    <row r="37" customFormat="false" ht="15" hidden="false" customHeight="false" outlineLevel="0" collapsed="false">
      <c r="A37" s="36" t="s">
        <v>280</v>
      </c>
      <c r="B37" s="36" t="s">
        <v>32</v>
      </c>
      <c r="C37" s="37" t="s">
        <v>34</v>
      </c>
      <c r="D37" s="38" t="str">
        <f aca="false">IFERROR(IF(INDEX(Matriz!$D$6:$D$200,MATCH($C37,Matriz!$A$6:$A$200,0))="","",INDEX(Matriz!$D$6:$D$200,MATCH($C37,Matriz!$A$6:$A$200,0))),"")</f>
        <v>Sí</v>
      </c>
      <c r="E37" s="38" t="str">
        <f aca="false">IFERROR(IF(INDEX(Matriz!$F$6:$F$200,MATCH($C37,Matriz!$A$6:$A$200,0))="","",INDEX(Matriz!$F$6:$F$200,MATCH($C37,Matriz!$A$6:$A$200,0))),"")</f>
        <v>Sí</v>
      </c>
      <c r="F37" s="38" t="str">
        <f aca="false">IFERROR(IF(INDEX(Matriz!$H$6:$H$200,MATCH($C37,Matriz!$A$6:$A$200,0))="","",INDEX(Matriz!$H$6:$H$200,MATCH($C37,Matriz!$A$6:$A$200,0))),"")</f>
        <v/>
      </c>
    </row>
    <row r="38" customFormat="false" ht="15" hidden="false" customHeight="false" outlineLevel="0" collapsed="false">
      <c r="A38" s="36" t="s">
        <v>281</v>
      </c>
      <c r="B38" s="36" t="s">
        <v>32</v>
      </c>
      <c r="C38" s="37" t="s">
        <v>65</v>
      </c>
      <c r="D38" s="38" t="str">
        <f aca="false">IFERROR(IF(INDEX(Matriz!$D$6:$D$200,MATCH($C38,Matriz!$A$6:$A$200,0))="","",INDEX(Matriz!$D$6:$D$200,MATCH($C38,Matriz!$A$6:$A$200,0))),"")</f>
        <v>Sí</v>
      </c>
      <c r="E38" s="38" t="str">
        <f aca="false">IFERROR(IF(INDEX(Matriz!$F$6:$F$200,MATCH($C38,Matriz!$A$6:$A$200,0))="","",INDEX(Matriz!$F$6:$F$200,MATCH($C38,Matriz!$A$6:$A$200,0))),"")</f>
        <v>Sí</v>
      </c>
      <c r="F38" s="38" t="str">
        <f aca="false">IFERROR(IF(INDEX(Matriz!$H$6:$H$200,MATCH($C38,Matriz!$A$6:$A$200,0))="","",INDEX(Matriz!$H$6:$H$200,MATCH($C38,Matriz!$A$6:$A$200,0))),"")</f>
        <v/>
      </c>
    </row>
    <row r="39" customFormat="false" ht="15" hidden="false" customHeight="false" outlineLevel="0" collapsed="false">
      <c r="A39" s="36" t="s">
        <v>282</v>
      </c>
      <c r="B39" s="36" t="s">
        <v>283</v>
      </c>
      <c r="C39" s="37" t="s">
        <v>144</v>
      </c>
      <c r="D39" s="38" t="str">
        <f aca="false">IFERROR(IF(INDEX(Matriz!$D$6:$D$200,MATCH($C39,Matriz!$A$6:$A$200,0))="","",INDEX(Matriz!$D$6:$D$200,MATCH($C39,Matriz!$A$6:$A$200,0))),"")</f>
        <v>Sí</v>
      </c>
      <c r="E39" s="38" t="str">
        <f aca="false">IFERROR(IF(INDEX(Matriz!$F$6:$F$200,MATCH($C39,Matriz!$A$6:$A$200,0))="","",INDEX(Matriz!$F$6:$F$200,MATCH($C39,Matriz!$A$6:$A$200,0))),"")</f>
        <v>Sí</v>
      </c>
      <c r="F39" s="38" t="str">
        <f aca="false">IFERROR(IF(INDEX(Matriz!$H$6:$H$200,MATCH($C39,Matriz!$A$6:$A$200,0))="","",INDEX(Matriz!$H$6:$H$200,MATCH($C39,Matriz!$A$6:$A$200,0))),"")</f>
        <v/>
      </c>
    </row>
    <row r="40" customFormat="false" ht="15" hidden="false" customHeight="false" outlineLevel="0" collapsed="false">
      <c r="A40" s="36" t="s">
        <v>284</v>
      </c>
      <c r="B40" s="36" t="s">
        <v>283</v>
      </c>
      <c r="C40" s="37" t="s">
        <v>192</v>
      </c>
      <c r="D40" s="38" t="str">
        <f aca="false">IFERROR(IF(INDEX(Matriz!$D$6:$D$200,MATCH($C40,Matriz!$A$6:$A$200,0))="","",INDEX(Matriz!$D$6:$D$200,MATCH($C40,Matriz!$A$6:$A$200,0))),"")</f>
        <v>No</v>
      </c>
      <c r="E40" s="38" t="str">
        <f aca="false">IFERROR(IF(INDEX(Matriz!$F$6:$F$200,MATCH($C40,Matriz!$A$6:$A$200,0))="","",INDEX(Matriz!$F$6:$F$200,MATCH($C40,Matriz!$A$6:$A$200,0))),"")</f>
        <v>Sí</v>
      </c>
      <c r="F40" s="38" t="str">
        <f aca="false">IFERROR(IF(INDEX(Matriz!$H$6:$H$200,MATCH($C40,Matriz!$A$6:$A$200,0))="","",INDEX(Matriz!$H$6:$H$200,MATCH($C40,Matriz!$A$6:$A$200,0))),"")</f>
        <v/>
      </c>
    </row>
    <row r="41" customFormat="false" ht="15" hidden="false" customHeight="false" outlineLevel="0" collapsed="false">
      <c r="A41" s="36" t="s">
        <v>119</v>
      </c>
      <c r="B41" s="36" t="s">
        <v>285</v>
      </c>
      <c r="C41" s="37" t="s">
        <v>118</v>
      </c>
      <c r="D41" s="38" t="str">
        <f aca="false">IFERROR(IF(INDEX(Matriz!$D$6:$D$200,MATCH($C41,Matriz!$A$6:$A$200,0))="","",INDEX(Matriz!$D$6:$D$200,MATCH($C41,Matriz!$A$6:$A$200,0))),"")</f>
        <v>No</v>
      </c>
      <c r="E41" s="38" t="str">
        <f aca="false">IFERROR(IF(INDEX(Matriz!$F$6:$F$200,MATCH($C41,Matriz!$A$6:$A$200,0))="","",INDEX(Matriz!$F$6:$F$200,MATCH($C41,Matriz!$A$6:$A$200,0))),"")</f>
        <v>Sí</v>
      </c>
      <c r="F41" s="38" t="str">
        <f aca="false">IFERROR(IF(INDEX(Matriz!$H$6:$H$200,MATCH($C41,Matriz!$A$6:$A$200,0))="","",INDEX(Matriz!$H$6:$H$200,MATCH($C41,Matriz!$A$6:$A$200,0))),"")</f>
        <v/>
      </c>
    </row>
    <row r="42" customFormat="false" ht="15" hidden="false" customHeight="false" outlineLevel="0" collapsed="false">
      <c r="A42" s="36" t="s">
        <v>199</v>
      </c>
      <c r="B42" s="36" t="s">
        <v>285</v>
      </c>
      <c r="C42" s="37" t="s">
        <v>197</v>
      </c>
      <c r="D42" s="38" t="str">
        <f aca="false">IFERROR(IF(INDEX(Matriz!$D$6:$D$200,MATCH($C42,Matriz!$A$6:$A$200,0))="","",INDEX(Matriz!$D$6:$D$200,MATCH($C42,Matriz!$A$6:$A$200,0))),"")</f>
        <v>Sí</v>
      </c>
      <c r="E42" s="38" t="str">
        <f aca="false">IFERROR(IF(INDEX(Matriz!$F$6:$F$200,MATCH($C42,Matriz!$A$6:$A$200,0))="","",INDEX(Matriz!$F$6:$F$200,MATCH($C42,Matriz!$A$6:$A$200,0))),"")</f>
        <v>Parcial</v>
      </c>
      <c r="F42" s="38" t="str">
        <f aca="false">IFERROR(IF(INDEX(Matriz!$H$6:$H$200,MATCH($C42,Matriz!$A$6:$A$200,0))="","",INDEX(Matriz!$H$6:$H$200,MATCH($C42,Matriz!$A$6:$A$200,0))),"")</f>
        <v/>
      </c>
    </row>
    <row r="43" customFormat="false" ht="15" hidden="false" customHeight="false" outlineLevel="0" collapsed="false">
      <c r="A43" s="36" t="s">
        <v>286</v>
      </c>
      <c r="B43" s="36" t="s">
        <v>287</v>
      </c>
      <c r="C43" s="37" t="s">
        <v>129</v>
      </c>
      <c r="D43" s="38" t="str">
        <f aca="false">IFERROR(IF(INDEX(Matriz!$D$6:$D$200,MATCH($C43,Matriz!$A$6:$A$200,0))="","",INDEX(Matriz!$D$6:$D$200,MATCH($C43,Matriz!$A$6:$A$200,0))),"")</f>
        <v>No</v>
      </c>
      <c r="E43" s="38" t="str">
        <f aca="false">IFERROR(IF(INDEX(Matriz!$F$6:$F$200,MATCH($C43,Matriz!$A$6:$A$200,0))="","",INDEX(Matriz!$F$6:$F$200,MATCH($C43,Matriz!$A$6:$A$200,0))),"")</f>
        <v>Sí</v>
      </c>
      <c r="F43" s="38" t="str">
        <f aca="false">IFERROR(IF(INDEX(Matriz!$H$6:$H$200,MATCH($C43,Matriz!$A$6:$A$200,0))="","",INDEX(Matriz!$H$6:$H$200,MATCH($C43,Matriz!$A$6:$A$200,0))),"")</f>
        <v/>
      </c>
    </row>
  </sheetData>
  <conditionalFormatting sqref="D26:F43">
    <cfRule type="cellIs" priority="2" operator="equal" aboveAverage="0" equalAverage="0" bottom="0" percent="0" rank="0" text="" dxfId="14">
      <formula>"Sí"</formula>
    </cfRule>
    <cfRule type="cellIs" priority="3" operator="equal" aboveAverage="0" equalAverage="0" bottom="0" percent="0" rank="0" text="" dxfId="15">
      <formula>"Parcial"</formula>
    </cfRule>
    <cfRule type="cellIs" priority="4" operator="equal" aboveAverage="0" equalAverage="0" bottom="0" percent="0" rank="0" text="" dxfId="15">
      <formula>"Implícito"</formula>
    </cfRule>
    <cfRule type="cellIs" priority="5" operator="equal" aboveAverage="0" equalAverage="0" bottom="0" percent="0" rank="0" text="" dxfId="16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1" t="s">
        <v>288</v>
      </c>
    </row>
    <row r="2" customFormat="false" ht="15" hidden="false" customHeight="false" outlineLevel="0" collapsed="false">
      <c r="A2" s="2" t="s">
        <v>289</v>
      </c>
    </row>
    <row r="4" customFormat="false" ht="15" hidden="false" customHeight="false" outlineLevel="0" collapsed="false">
      <c r="A4" s="8" t="s">
        <v>290</v>
      </c>
      <c r="B4" s="8" t="s">
        <v>291</v>
      </c>
      <c r="C4" s="8" t="s">
        <v>259</v>
      </c>
      <c r="D4" s="8" t="s">
        <v>292</v>
      </c>
      <c r="E4" s="8" t="s">
        <v>293</v>
      </c>
      <c r="F4" s="8" t="s">
        <v>294</v>
      </c>
    </row>
    <row r="5" customFormat="false" ht="35.05" hidden="false" customHeight="false" outlineLevel="0" collapsed="false">
      <c r="A5" s="13" t="s">
        <v>295</v>
      </c>
      <c r="B5" s="13" t="s">
        <v>296</v>
      </c>
      <c r="C5" s="14" t="s">
        <v>43</v>
      </c>
      <c r="D5" s="39" t="s">
        <v>297</v>
      </c>
      <c r="E5" s="14" t="s">
        <v>298</v>
      </c>
      <c r="F5" s="14" t="s">
        <v>299</v>
      </c>
    </row>
    <row r="6" customFormat="false" ht="46.25" hidden="false" customHeight="false" outlineLevel="0" collapsed="false">
      <c r="A6" s="13" t="s">
        <v>300</v>
      </c>
      <c r="B6" s="13" t="s">
        <v>301</v>
      </c>
      <c r="C6" s="14" t="s">
        <v>302</v>
      </c>
      <c r="D6" s="39" t="s">
        <v>303</v>
      </c>
      <c r="E6" s="14" t="s">
        <v>304</v>
      </c>
      <c r="F6" s="14" t="s">
        <v>305</v>
      </c>
    </row>
    <row r="7" customFormat="false" ht="46.25" hidden="false" customHeight="false" outlineLevel="0" collapsed="false">
      <c r="A7" s="13" t="s">
        <v>306</v>
      </c>
      <c r="B7" s="13" t="s">
        <v>307</v>
      </c>
      <c r="C7" s="14" t="s">
        <v>118</v>
      </c>
      <c r="D7" s="39" t="s">
        <v>308</v>
      </c>
      <c r="E7" s="14" t="s">
        <v>309</v>
      </c>
      <c r="F7" s="14" t="s">
        <v>310</v>
      </c>
    </row>
    <row r="8" customFormat="false" ht="46.25" hidden="false" customHeight="false" outlineLevel="0" collapsed="false">
      <c r="A8" s="13" t="s">
        <v>311</v>
      </c>
      <c r="B8" s="13" t="s">
        <v>312</v>
      </c>
      <c r="C8" s="14" t="s">
        <v>313</v>
      </c>
      <c r="D8" s="39" t="s">
        <v>314</v>
      </c>
      <c r="E8" s="14" t="s">
        <v>315</v>
      </c>
      <c r="F8" s="14" t="s">
        <v>316</v>
      </c>
    </row>
    <row r="9" customFormat="false" ht="46.25" hidden="false" customHeight="false" outlineLevel="0" collapsed="false">
      <c r="A9" s="13" t="s">
        <v>317</v>
      </c>
      <c r="B9" s="13" t="s">
        <v>318</v>
      </c>
      <c r="C9" s="14" t="s">
        <v>313</v>
      </c>
      <c r="D9" s="39" t="s">
        <v>319</v>
      </c>
      <c r="E9" s="14" t="s">
        <v>320</v>
      </c>
      <c r="F9" s="14" t="s">
        <v>321</v>
      </c>
    </row>
    <row r="10" customFormat="false" ht="23.85" hidden="false" customHeight="false" outlineLevel="0" collapsed="false">
      <c r="A10" s="13" t="s">
        <v>322</v>
      </c>
      <c r="B10" s="13" t="s">
        <v>323</v>
      </c>
      <c r="C10" s="14" t="s">
        <v>138</v>
      </c>
      <c r="D10" s="39" t="s">
        <v>324</v>
      </c>
      <c r="E10" s="14" t="s">
        <v>325</v>
      </c>
      <c r="F10" s="14" t="s">
        <v>326</v>
      </c>
    </row>
    <row r="11" customFormat="false" ht="23.85" hidden="false" customHeight="false" outlineLevel="0" collapsed="false">
      <c r="A11" s="13" t="s">
        <v>327</v>
      </c>
      <c r="B11" s="13" t="s">
        <v>328</v>
      </c>
      <c r="C11" s="14" t="s">
        <v>329</v>
      </c>
      <c r="D11" s="39" t="s">
        <v>330</v>
      </c>
      <c r="E11" s="14" t="s">
        <v>331</v>
      </c>
      <c r="F11" s="14" t="s">
        <v>332</v>
      </c>
    </row>
    <row r="12" customFormat="false" ht="46.25" hidden="false" customHeight="false" outlineLevel="0" collapsed="false">
      <c r="A12" s="13" t="s">
        <v>333</v>
      </c>
      <c r="B12" s="13" t="s">
        <v>334</v>
      </c>
      <c r="C12" s="14" t="s">
        <v>335</v>
      </c>
      <c r="D12" s="39" t="s">
        <v>336</v>
      </c>
      <c r="E12" s="14" t="s">
        <v>337</v>
      </c>
      <c r="F12" s="14" t="s">
        <v>338</v>
      </c>
    </row>
    <row r="13" customFormat="false" ht="46.25" hidden="false" customHeight="false" outlineLevel="0" collapsed="false">
      <c r="A13" s="13" t="s">
        <v>339</v>
      </c>
      <c r="B13" s="13" t="s">
        <v>340</v>
      </c>
      <c r="C13" s="14" t="s">
        <v>341</v>
      </c>
      <c r="D13" s="39" t="s">
        <v>342</v>
      </c>
      <c r="E13" s="14" t="s">
        <v>343</v>
      </c>
      <c r="F13" s="14" t="s">
        <v>344</v>
      </c>
    </row>
    <row r="14" customFormat="false" ht="23.85" hidden="false" customHeight="false" outlineLevel="0" collapsed="false">
      <c r="A14" s="13" t="s">
        <v>345</v>
      </c>
      <c r="B14" s="13" t="s">
        <v>346</v>
      </c>
      <c r="C14" s="14" t="s">
        <v>192</v>
      </c>
      <c r="D14" s="39" t="s">
        <v>314</v>
      </c>
      <c r="E14" s="14" t="s">
        <v>347</v>
      </c>
      <c r="F14" s="14" t="s">
        <v>348</v>
      </c>
    </row>
    <row r="15" customFormat="false" ht="46.25" hidden="false" customHeight="false" outlineLevel="0" collapsed="false">
      <c r="A15" s="13" t="s">
        <v>349</v>
      </c>
      <c r="B15" s="13" t="s">
        <v>350</v>
      </c>
      <c r="C15" s="14" t="s">
        <v>351</v>
      </c>
      <c r="D15" s="40" t="s">
        <v>352</v>
      </c>
      <c r="E15" s="14" t="s">
        <v>353</v>
      </c>
      <c r="F15" s="14" t="s">
        <v>354</v>
      </c>
    </row>
    <row r="16" customFormat="false" ht="46.25" hidden="false" customHeight="false" outlineLevel="0" collapsed="false">
      <c r="A16" s="13" t="s">
        <v>355</v>
      </c>
      <c r="B16" s="13" t="s">
        <v>356</v>
      </c>
      <c r="C16" s="14" t="s">
        <v>31</v>
      </c>
      <c r="D16" s="39" t="s">
        <v>357</v>
      </c>
      <c r="E16" s="14" t="s">
        <v>358</v>
      </c>
      <c r="F16" s="14" t="s">
        <v>359</v>
      </c>
    </row>
    <row r="17" customFormat="false" ht="35.05" hidden="false" customHeight="false" outlineLevel="0" collapsed="false">
      <c r="A17" s="13" t="s">
        <v>360</v>
      </c>
      <c r="B17" s="13" t="s">
        <v>361</v>
      </c>
      <c r="C17" s="14" t="s">
        <v>362</v>
      </c>
      <c r="D17" s="41" t="s">
        <v>363</v>
      </c>
      <c r="E17" s="14" t="s">
        <v>364</v>
      </c>
      <c r="F17" s="14" t="s">
        <v>365</v>
      </c>
    </row>
    <row r="18" customFormat="false" ht="35.05" hidden="false" customHeight="false" outlineLevel="0" collapsed="false">
      <c r="A18" s="13" t="s">
        <v>366</v>
      </c>
      <c r="B18" s="13" t="s">
        <v>367</v>
      </c>
      <c r="C18" s="14" t="s">
        <v>60</v>
      </c>
      <c r="D18" s="41" t="s">
        <v>368</v>
      </c>
      <c r="E18" s="14" t="s">
        <v>369</v>
      </c>
      <c r="F18" s="14" t="s">
        <v>370</v>
      </c>
    </row>
    <row r="19" customFormat="false" ht="23.85" hidden="false" customHeight="false" outlineLevel="0" collapsed="false">
      <c r="A19" s="13" t="s">
        <v>371</v>
      </c>
      <c r="B19" s="13" t="s">
        <v>372</v>
      </c>
      <c r="C19" s="14" t="s">
        <v>74</v>
      </c>
      <c r="D19" s="41" t="s">
        <v>373</v>
      </c>
      <c r="E19" s="14" t="s">
        <v>374</v>
      </c>
      <c r="F19" s="14" t="s">
        <v>375</v>
      </c>
    </row>
    <row r="20" customFormat="false" ht="23.85" hidden="false" customHeight="false" outlineLevel="0" collapsed="false">
      <c r="A20" s="13" t="s">
        <v>376</v>
      </c>
      <c r="B20" s="13" t="s">
        <v>377</v>
      </c>
      <c r="C20" s="14" t="s">
        <v>114</v>
      </c>
      <c r="D20" s="40" t="s">
        <v>378</v>
      </c>
      <c r="E20" s="14" t="s">
        <v>379</v>
      </c>
      <c r="F20" s="14" t="s">
        <v>380</v>
      </c>
    </row>
  </sheetData>
  <autoFilter ref="A4:F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5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381</v>
      </c>
    </row>
    <row r="3" customFormat="false" ht="15" hidden="false" customHeight="false" outlineLevel="0" collapsed="false">
      <c r="A3" s="8" t="s">
        <v>382</v>
      </c>
      <c r="B3" s="9" t="s">
        <v>3</v>
      </c>
      <c r="C3" s="10" t="s">
        <v>4</v>
      </c>
      <c r="D3" s="11" t="s">
        <v>5</v>
      </c>
    </row>
    <row r="4" customFormat="false" ht="15" hidden="false" customHeight="false" outlineLevel="0" collapsed="false">
      <c r="A4" s="13" t="s">
        <v>383</v>
      </c>
      <c r="B4" s="14" t="s">
        <v>384</v>
      </c>
      <c r="C4" s="14" t="s">
        <v>385</v>
      </c>
      <c r="D4" s="17"/>
    </row>
    <row r="5" customFormat="false" ht="15" hidden="false" customHeight="false" outlineLevel="0" collapsed="false">
      <c r="A5" s="13" t="s">
        <v>386</v>
      </c>
      <c r="B5" s="14" t="s">
        <v>387</v>
      </c>
      <c r="C5" s="14" t="s">
        <v>388</v>
      </c>
      <c r="D5" s="17"/>
    </row>
    <row r="6" customFormat="false" ht="23.85" hidden="false" customHeight="false" outlineLevel="0" collapsed="false">
      <c r="A6" s="13" t="s">
        <v>389</v>
      </c>
      <c r="B6" s="14" t="s">
        <v>390</v>
      </c>
      <c r="C6" s="14" t="s">
        <v>391</v>
      </c>
      <c r="D6" s="17"/>
    </row>
    <row r="7" customFormat="false" ht="15" hidden="false" customHeight="false" outlineLevel="0" collapsed="false">
      <c r="A7" s="13" t="s">
        <v>392</v>
      </c>
      <c r="B7" s="14" t="s">
        <v>393</v>
      </c>
      <c r="C7" s="14" t="s">
        <v>394</v>
      </c>
      <c r="D7" s="17"/>
    </row>
    <row r="8" customFormat="false" ht="23.85" hidden="false" customHeight="false" outlineLevel="0" collapsed="false">
      <c r="A8" s="13" t="s">
        <v>395</v>
      </c>
      <c r="B8" s="14" t="s">
        <v>396</v>
      </c>
      <c r="C8" s="14" t="s">
        <v>397</v>
      </c>
      <c r="D8" s="17"/>
    </row>
    <row r="9" customFormat="false" ht="15" hidden="false" customHeight="false" outlineLevel="0" collapsed="false">
      <c r="A9" s="13" t="s">
        <v>398</v>
      </c>
      <c r="B9" s="14" t="s">
        <v>399</v>
      </c>
      <c r="C9" s="14" t="s">
        <v>400</v>
      </c>
      <c r="D9" s="17"/>
    </row>
    <row r="10" customFormat="false" ht="15" hidden="false" customHeight="false" outlineLevel="0" collapsed="false">
      <c r="A10" s="13" t="s">
        <v>401</v>
      </c>
      <c r="B10" s="14" t="s">
        <v>402</v>
      </c>
      <c r="C10" s="14" t="s">
        <v>403</v>
      </c>
      <c r="D10" s="17"/>
    </row>
    <row r="11" customFormat="false" ht="15" hidden="false" customHeight="false" outlineLevel="0" collapsed="false">
      <c r="A11" s="13" t="s">
        <v>404</v>
      </c>
      <c r="B11" s="14" t="s">
        <v>405</v>
      </c>
      <c r="C11" s="14" t="s">
        <v>406</v>
      </c>
      <c r="D11" s="17"/>
    </row>
    <row r="12" customFormat="false" ht="15" hidden="false" customHeight="false" outlineLevel="0" collapsed="false">
      <c r="A12" s="13" t="s">
        <v>407</v>
      </c>
      <c r="B12" s="14" t="s">
        <v>408</v>
      </c>
      <c r="C12" s="14" t="s">
        <v>409</v>
      </c>
      <c r="D12" s="17"/>
    </row>
    <row r="13" customFormat="false" ht="15" hidden="false" customHeight="false" outlineLevel="0" collapsed="false">
      <c r="A13" s="13" t="s">
        <v>410</v>
      </c>
      <c r="B13" s="14" t="s">
        <v>411</v>
      </c>
      <c r="C13" s="14" t="s">
        <v>412</v>
      </c>
      <c r="D13" s="17"/>
    </row>
    <row r="14" customFormat="false" ht="23.85" hidden="false" customHeight="false" outlineLevel="0" collapsed="false">
      <c r="A14" s="13" t="s">
        <v>413</v>
      </c>
      <c r="B14" s="14" t="s">
        <v>414</v>
      </c>
      <c r="C14" s="14" t="s">
        <v>415</v>
      </c>
      <c r="D14" s="17"/>
    </row>
    <row r="15" customFormat="false" ht="35.05" hidden="false" customHeight="false" outlineLevel="0" collapsed="false">
      <c r="A15" s="13" t="s">
        <v>416</v>
      </c>
      <c r="B15" s="14" t="s">
        <v>417</v>
      </c>
      <c r="C15" s="14" t="s">
        <v>418</v>
      </c>
      <c r="D15" s="17"/>
    </row>
    <row r="16" customFormat="false" ht="23.85" hidden="false" customHeight="false" outlineLevel="0" collapsed="false">
      <c r="A16" s="42" t="s">
        <v>419</v>
      </c>
      <c r="B16" s="43" t="n">
        <f aca="false">COUNTIF(Matriz!$D$6:$D$200,"Sí")+COUNTIF(Matriz!$D$6:$D$200,"Parcial")+COUNTIF(Matriz!$D$6:$D$200,"Implícito")</f>
        <v>39</v>
      </c>
      <c r="C16" s="43" t="n">
        <f aca="false">COUNTIF(Matriz!$F$6:$F$200,"Sí")+COUNTIF(Matriz!$F$6:$F$200,"Parcial")+COUNTIF(Matriz!$F$6:$F$200,"Implícito")</f>
        <v>34</v>
      </c>
      <c r="D16" s="43" t="n">
        <f aca="false">COUNTIF(Matriz!$H$6:$H$200,"Sí")+COUNTIF(Matriz!$H$6:$H$200,"Parcial")+COUNTIF(Matriz!$H$6:$H$200,"Implícito")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420</v>
      </c>
    </row>
    <row r="3" customFormat="false" ht="15" hidden="false" customHeight="false" outlineLevel="0" collapsed="false">
      <c r="A3" s="30" t="s">
        <v>421</v>
      </c>
    </row>
    <row r="4" customFormat="false" ht="15" hidden="false" customHeight="false" outlineLevel="0" collapsed="false">
      <c r="A4" s="44" t="s">
        <v>18</v>
      </c>
      <c r="B4" s="14" t="s">
        <v>422</v>
      </c>
    </row>
    <row r="5" customFormat="false" ht="15" hidden="false" customHeight="false" outlineLevel="0" collapsed="false">
      <c r="A5" s="45" t="s">
        <v>201</v>
      </c>
      <c r="B5" s="14" t="s">
        <v>423</v>
      </c>
    </row>
    <row r="6" customFormat="false" ht="15" hidden="false" customHeight="false" outlineLevel="0" collapsed="false">
      <c r="A6" s="45" t="s">
        <v>77</v>
      </c>
      <c r="B6" s="14" t="s">
        <v>424</v>
      </c>
    </row>
    <row r="7" customFormat="false" ht="15" hidden="false" customHeight="false" outlineLevel="0" collapsed="false">
      <c r="A7" s="46" t="s">
        <v>30</v>
      </c>
      <c r="B7" s="14" t="s">
        <v>425</v>
      </c>
    </row>
    <row r="8" customFormat="false" ht="15" hidden="false" customHeight="false" outlineLevel="0" collapsed="false">
      <c r="A8" s="47" t="s">
        <v>426</v>
      </c>
      <c r="B8" s="14" t="s">
        <v>427</v>
      </c>
    </row>
    <row r="10" customFormat="false" ht="15" hidden="false" customHeight="false" outlineLevel="0" collapsed="false">
      <c r="A10" s="30" t="s">
        <v>428</v>
      </c>
    </row>
    <row r="11" customFormat="false" ht="15" hidden="false" customHeight="false" outlineLevel="0" collapsed="false">
      <c r="A11" s="48" t="s">
        <v>429</v>
      </c>
      <c r="B11" s="49" t="s">
        <v>430</v>
      </c>
    </row>
    <row r="12" customFormat="false" ht="15" hidden="false" customHeight="false" outlineLevel="0" collapsed="false">
      <c r="A12" s="48" t="s">
        <v>431</v>
      </c>
      <c r="B12" s="49" t="s">
        <v>432</v>
      </c>
    </row>
    <row r="13" customFormat="false" ht="15" hidden="false" customHeight="false" outlineLevel="0" collapsed="false">
      <c r="A13" s="48" t="s">
        <v>433</v>
      </c>
      <c r="B13" s="49" t="s">
        <v>119</v>
      </c>
    </row>
    <row r="14" customFormat="false" ht="15" hidden="false" customHeight="false" outlineLevel="0" collapsed="false">
      <c r="A14" s="48" t="s">
        <v>434</v>
      </c>
      <c r="B14" s="49" t="s">
        <v>125</v>
      </c>
    </row>
    <row r="15" customFormat="false" ht="15" hidden="false" customHeight="false" outlineLevel="0" collapsed="false">
      <c r="A15" s="48" t="s">
        <v>435</v>
      </c>
      <c r="B15" s="49" t="s">
        <v>139</v>
      </c>
    </row>
    <row r="16" customFormat="false" ht="15" hidden="false" customHeight="false" outlineLevel="0" collapsed="false">
      <c r="A16" s="48" t="s">
        <v>436</v>
      </c>
      <c r="B16" s="49" t="s">
        <v>437</v>
      </c>
    </row>
    <row r="17" customFormat="false" ht="15" hidden="false" customHeight="false" outlineLevel="0" collapsed="false">
      <c r="A17" s="48" t="s">
        <v>438</v>
      </c>
      <c r="B17" s="49" t="s">
        <v>229</v>
      </c>
    </row>
    <row r="19" customFormat="false" ht="15" hidden="false" customHeight="false" outlineLevel="0" collapsed="false">
      <c r="A19" s="30" t="s">
        <v>439</v>
      </c>
    </row>
    <row r="20" customFormat="false" ht="15" hidden="false" customHeight="false" outlineLevel="0" collapsed="false">
      <c r="A20" s="50" t="s">
        <v>440</v>
      </c>
      <c r="B20" s="14" t="s">
        <v>441</v>
      </c>
    </row>
    <row r="21" customFormat="false" ht="23.85" hidden="false" customHeight="false" outlineLevel="0" collapsed="false">
      <c r="A21" s="50" t="s">
        <v>442</v>
      </c>
      <c r="B21" s="14" t="s">
        <v>443</v>
      </c>
    </row>
    <row r="22" customFormat="false" ht="15" hidden="false" customHeight="false" outlineLevel="0" collapsed="false">
      <c r="A22" s="50" t="s">
        <v>444</v>
      </c>
      <c r="B22" s="14" t="s">
        <v>445</v>
      </c>
    </row>
    <row r="23" customFormat="false" ht="15" hidden="false" customHeight="false" outlineLevel="0" collapsed="false">
      <c r="A23" s="50" t="s">
        <v>446</v>
      </c>
      <c r="B23" s="14" t="s">
        <v>447</v>
      </c>
    </row>
    <row r="25" customFormat="false" ht="15" hidden="false" customHeight="false" outlineLevel="0" collapsed="false">
      <c r="A25" s="30" t="s">
        <v>448</v>
      </c>
    </row>
    <row r="26" customFormat="false" ht="15" hidden="false" customHeight="false" outlineLevel="0" collapsed="false">
      <c r="A26" s="51" t="s">
        <v>449</v>
      </c>
      <c r="B26" s="52" t="s">
        <v>450</v>
      </c>
    </row>
    <row r="27" customFormat="false" ht="15" hidden="false" customHeight="false" outlineLevel="0" collapsed="false">
      <c r="A27" s="51" t="s">
        <v>451</v>
      </c>
      <c r="B27" s="52" t="s">
        <v>18</v>
      </c>
    </row>
    <row r="28" customFormat="false" ht="15" hidden="false" customHeight="false" outlineLevel="0" collapsed="false">
      <c r="A28" s="51" t="s">
        <v>452</v>
      </c>
      <c r="B28" s="52" t="s">
        <v>453</v>
      </c>
    </row>
    <row r="30" customFormat="false" ht="15" hidden="false" customHeight="false" outlineLevel="0" collapsed="false">
      <c r="A30" s="30" t="s">
        <v>454</v>
      </c>
    </row>
    <row r="31" customFormat="false" ht="15" hidden="false" customHeight="false" outlineLevel="0" collapsed="false">
      <c r="A31" s="53" t="s">
        <v>253</v>
      </c>
      <c r="B31" s="14" t="s">
        <v>455</v>
      </c>
    </row>
    <row r="32" customFormat="false" ht="15" hidden="false" customHeight="false" outlineLevel="0" collapsed="false">
      <c r="A32" s="53" t="s">
        <v>254</v>
      </c>
      <c r="B32" s="14" t="s">
        <v>456</v>
      </c>
    </row>
    <row r="33" customFormat="false" ht="15" hidden="false" customHeight="false" outlineLevel="0" collapsed="false">
      <c r="A33" s="53" t="s">
        <v>457</v>
      </c>
      <c r="B33" s="14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2026-09-22T21:00:31Z</dcterms:created>
  <dc:creator>openpyxl</dc:creator>
  <dc:description/>
  <dc:language>en-US</dc:language>
  <cp:lastModifiedBy/>
  <dcterms:modified xsi:type="dcterms:W3CDTF">2026-09-22T21:00:31Z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